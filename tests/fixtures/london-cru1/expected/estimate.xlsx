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DETAILING-OR\Downloads\"/>
    </mc:Choice>
  </mc:AlternateContent>
  <xr:revisionPtr revIDLastSave="0" documentId="13_ncr:1_{DF6F93F4-566F-42E7-A9B1-C029D2D8104F}" xr6:coauthVersionLast="47" xr6:coauthVersionMax="47" xr10:uidLastSave="{00000000-0000-0000-0000-000000000000}"/>
  <bookViews>
    <workbookView xWindow="11190" yWindow="5535" windowWidth="25785" windowHeight="15345" xr2:uid="{00000000-000D-0000-FFFF-FFFF00000000}"/>
  </bookViews>
  <sheets>
    <sheet name="Estimate sheet" sheetId="1" r:id="rId1"/>
  </sheets>
  <externalReferences>
    <externalReference r:id="rId2"/>
  </externalReferences>
  <definedNames>
    <definedName name="_xlnm._FilterDatabase" localSheetId="0" hidden="1">'Estimate sheet'!$A$3:$S$430</definedName>
    <definedName name="_xlnm.Print_Area" localSheetId="0">'Estimate sheet'!$A$1:$M$310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" i="1" l="1"/>
  <c r="L41" i="1" s="1"/>
  <c r="K40" i="1"/>
  <c r="L40" i="1" s="1"/>
  <c r="K80" i="1"/>
  <c r="L80" i="1" s="1"/>
  <c r="K79" i="1"/>
  <c r="L79" i="1" s="1"/>
  <c r="L31" i="1"/>
  <c r="L14" i="1"/>
  <c r="L16" i="1"/>
  <c r="L18" i="1"/>
  <c r="L20" i="1"/>
  <c r="L22" i="1"/>
  <c r="L24" i="1"/>
  <c r="L26" i="1"/>
  <c r="L28" i="1"/>
  <c r="L32" i="1"/>
  <c r="L35" i="1"/>
  <c r="L36" i="1"/>
  <c r="L39" i="1"/>
  <c r="K36" i="1"/>
  <c r="K35" i="1"/>
  <c r="K32" i="1"/>
  <c r="K31" i="1"/>
  <c r="K75" i="1"/>
  <c r="L75" i="1" s="1"/>
  <c r="K74" i="1"/>
  <c r="L74" i="1" s="1"/>
  <c r="K71" i="1"/>
  <c r="L71" i="1" s="1"/>
  <c r="K70" i="1"/>
  <c r="L70" i="1" s="1"/>
  <c r="K67" i="1"/>
  <c r="L67" i="1" s="1"/>
  <c r="K66" i="1"/>
  <c r="L66" i="1" s="1"/>
  <c r="K63" i="1"/>
  <c r="L63" i="1" s="1"/>
  <c r="K62" i="1"/>
  <c r="L62" i="1" s="1"/>
  <c r="K59" i="1"/>
  <c r="L59" i="1" s="1"/>
  <c r="K58" i="1"/>
  <c r="L58" i="1" s="1"/>
  <c r="K55" i="1"/>
  <c r="L55" i="1" s="1"/>
  <c r="K54" i="1"/>
  <c r="L54" i="1" s="1"/>
  <c r="K51" i="1"/>
  <c r="L51" i="1" s="1"/>
  <c r="K50" i="1"/>
  <c r="L50" i="1" s="1"/>
  <c r="K39" i="1"/>
  <c r="K26" i="1"/>
  <c r="K24" i="1"/>
  <c r="K20" i="1"/>
  <c r="K14" i="1"/>
  <c r="K28" i="1"/>
  <c r="K22" i="1"/>
  <c r="K18" i="1"/>
  <c r="K16" i="1"/>
  <c r="K47" i="1"/>
  <c r="L47" i="1" s="1"/>
  <c r="K46" i="1"/>
  <c r="L46" i="1" s="1"/>
  <c r="A1" i="1"/>
  <c r="L85" i="1" l="1"/>
</calcChain>
</file>

<file path=xl/sharedStrings.xml><?xml version="1.0" encoding="utf-8"?>
<sst xmlns="http://schemas.openxmlformats.org/spreadsheetml/2006/main" count="146" uniqueCount="90">
  <si>
    <t>10M</t>
  </si>
  <si>
    <t>15M</t>
  </si>
  <si>
    <t>20M</t>
  </si>
  <si>
    <t>25M</t>
  </si>
  <si>
    <t>30M</t>
  </si>
  <si>
    <t>35M</t>
  </si>
  <si>
    <t>DIA OF BARS</t>
  </si>
  <si>
    <t>MASS IN Kg/m</t>
  </si>
  <si>
    <t>1"</t>
  </si>
  <si>
    <t>0.08'</t>
  </si>
  <si>
    <t>5"</t>
  </si>
  <si>
    <t>0.42'</t>
  </si>
  <si>
    <t>9"</t>
  </si>
  <si>
    <t>0.75'</t>
  </si>
  <si>
    <t>2"</t>
  </si>
  <si>
    <t>0.17'</t>
  </si>
  <si>
    <t>6"</t>
  </si>
  <si>
    <t>0.5'</t>
  </si>
  <si>
    <t>10"</t>
  </si>
  <si>
    <t>0.83'</t>
  </si>
  <si>
    <t>3"</t>
  </si>
  <si>
    <t>0.25'</t>
  </si>
  <si>
    <t>7"</t>
  </si>
  <si>
    <t>0.58'</t>
  </si>
  <si>
    <t>11"</t>
  </si>
  <si>
    <t>0.92'</t>
  </si>
  <si>
    <t>4"</t>
  </si>
  <si>
    <t>0.33'</t>
  </si>
  <si>
    <t>8"</t>
  </si>
  <si>
    <t>0.67'</t>
  </si>
  <si>
    <t>12"</t>
  </si>
  <si>
    <t>1'</t>
  </si>
  <si>
    <t>ALL REINF.GRADE ARE : 400R</t>
  </si>
  <si>
    <t>CONCRETE STRENGHT : 35 Mpa</t>
  </si>
  <si>
    <t>SL.No.</t>
  </si>
  <si>
    <t>Multi-</t>
  </si>
  <si>
    <t>Qty</t>
  </si>
  <si>
    <t>Bar Dia</t>
  </si>
  <si>
    <t>Length in</t>
  </si>
  <si>
    <t>Bend</t>
  </si>
  <si>
    <t>Info</t>
  </si>
  <si>
    <t>Total  Length (Mtr.)</t>
  </si>
  <si>
    <t>Total Wgt</t>
  </si>
  <si>
    <t>Notes</t>
  </si>
  <si>
    <t>Indentification</t>
  </si>
  <si>
    <t>plier</t>
  </si>
  <si>
    <t>millimeters</t>
  </si>
  <si>
    <t>kg</t>
  </si>
  <si>
    <t>STRAIGHT BAR</t>
  </si>
  <si>
    <t>TOTAL WEIGHT</t>
  </si>
  <si>
    <t>inches</t>
  </si>
  <si>
    <t>PIER</t>
  </si>
  <si>
    <t>P1</t>
  </si>
  <si>
    <t>10MM @300 MM TIES 3 SET</t>
  </si>
  <si>
    <t>P2</t>
  </si>
  <si>
    <t>P3</t>
  </si>
  <si>
    <t>FOOTING</t>
  </si>
  <si>
    <t>F2</t>
  </si>
  <si>
    <t>F3</t>
  </si>
  <si>
    <t>F1</t>
  </si>
  <si>
    <t>F4</t>
  </si>
  <si>
    <t>F5</t>
  </si>
  <si>
    <t>F6</t>
  </si>
  <si>
    <t>P5</t>
  </si>
  <si>
    <t>P6</t>
  </si>
  <si>
    <t>TIES</t>
  </si>
  <si>
    <t>TOTAL AREA</t>
  </si>
  <si>
    <t xml:space="preserve">LONDON </t>
  </si>
  <si>
    <t xml:space="preserve"> 15MM @250MM BEW</t>
  </si>
  <si>
    <t>15MM @250 MM BEW</t>
  </si>
  <si>
    <t>F7</t>
  </si>
  <si>
    <t>F8</t>
  </si>
  <si>
    <t>FW</t>
  </si>
  <si>
    <t xml:space="preserve">4 15MM VERTICAL </t>
  </si>
  <si>
    <t>P4</t>
  </si>
  <si>
    <t>P7</t>
  </si>
  <si>
    <t>P8</t>
  </si>
  <si>
    <t xml:space="preserve">F2    2 STEP </t>
  </si>
  <si>
    <t xml:space="preserve">F2   1 STEP </t>
  </si>
  <si>
    <t>STEP ON GRADE</t>
  </si>
  <si>
    <t xml:space="preserve">3 10 MM CONT  TRANSVERSE </t>
  </si>
  <si>
    <t>3 10 MM CONT  LONGITUDINAL</t>
  </si>
  <si>
    <t>SLAB ON GRADE</t>
  </si>
  <si>
    <t>W.W.M.-152x152XMW18.7/18.7 (6X6XW2.9/W2.9</t>
  </si>
  <si>
    <t>1236.23 SQ M</t>
  </si>
  <si>
    <t xml:space="preserve"> SQ F 13306.66</t>
  </si>
  <si>
    <t xml:space="preserve">20MM CONTI T&amp;B </t>
  </si>
  <si>
    <t xml:space="preserve">15MM@610 DOWELL  </t>
  </si>
  <si>
    <t xml:space="preserve">15MM@406 DOWELL  </t>
  </si>
  <si>
    <t>LT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</si>
</sst>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 * #,##0.00_ ;_ * \-#,##0.00_ ;_ * &quot;-&quot;??_ ;_ @_ "/>
    <numFmt numFmtId="166" formatCode="&quot;@&quot;#"/>
    <numFmt numFmtId="167" formatCode="0.000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4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charset val="134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165" fontId="26" fillId="0" borderId="0" applyFont="0" applyFill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22" borderId="0" applyNumberFormat="0" applyBorder="0" applyAlignment="0" applyProtection="0"/>
    <xf numFmtId="0" fontId="11" fillId="6" borderId="0" applyNumberFormat="0" applyBorder="0" applyAlignment="0" applyProtection="0"/>
    <xf numFmtId="0" fontId="12" fillId="23" borderId="26" applyNumberFormat="0" applyAlignment="0" applyProtection="0"/>
    <xf numFmtId="0" fontId="13" fillId="24" borderId="27" applyNumberFormat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0" borderId="28" applyNumberFormat="0" applyFill="0" applyAlignment="0" applyProtection="0"/>
    <xf numFmtId="0" fontId="17" fillId="0" borderId="29" applyNumberFormat="0" applyFill="0" applyAlignment="0" applyProtection="0"/>
    <xf numFmtId="0" fontId="18" fillId="0" borderId="30" applyNumberFormat="0" applyFill="0" applyAlignment="0" applyProtection="0"/>
    <xf numFmtId="0" fontId="18" fillId="0" borderId="0" applyNumberFormat="0" applyFill="0" applyBorder="0" applyAlignment="0" applyProtection="0"/>
    <xf numFmtId="0" fontId="19" fillId="10" borderId="26" applyNumberFormat="0" applyAlignment="0" applyProtection="0"/>
    <xf numFmtId="0" fontId="20" fillId="0" borderId="31" applyNumberFormat="0" applyFill="0" applyAlignment="0" applyProtection="0"/>
    <xf numFmtId="0" fontId="21" fillId="25" borderId="0" applyNumberFormat="0" applyBorder="0" applyAlignment="0" applyProtection="0"/>
    <xf numFmtId="0" fontId="7" fillId="0" borderId="0"/>
    <xf numFmtId="0" fontId="7" fillId="0" borderId="0"/>
    <xf numFmtId="0" fontId="7" fillId="26" borderId="32" applyNumberFormat="0" applyFont="0" applyAlignment="0" applyProtection="0"/>
    <xf numFmtId="0" fontId="7" fillId="26" borderId="32" applyNumberFormat="0" applyFont="0" applyAlignment="0" applyProtection="0"/>
    <xf numFmtId="0" fontId="22" fillId="23" borderId="33" applyNumberFormat="0" applyAlignment="0" applyProtection="0"/>
    <xf numFmtId="0" fontId="23" fillId="0" borderId="0" applyNumberFormat="0" applyFill="0" applyBorder="0" applyAlignment="0" applyProtection="0"/>
    <xf numFmtId="0" fontId="24" fillId="0" borderId="34" applyNumberFormat="0" applyFill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65" fontId="4" fillId="2" borderId="7" xfId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165" fontId="3" fillId="3" borderId="12" xfId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left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14" xfId="40" applyBorder="1" applyAlignment="1">
      <alignment horizontal="center" vertical="center"/>
    </xf>
    <xf numFmtId="0" fontId="7" fillId="0" borderId="15" xfId="40" applyBorder="1" applyAlignment="1">
      <alignment horizontal="center" vertical="center"/>
    </xf>
    <xf numFmtId="0" fontId="7" fillId="0" borderId="3" xfId="40" applyBorder="1" applyAlignment="1">
      <alignment horizontal="center" vertical="center"/>
    </xf>
    <xf numFmtId="0" fontId="7" fillId="0" borderId="16" xfId="40" applyBorder="1" applyAlignment="1">
      <alignment horizontal="center" vertical="center"/>
    </xf>
    <xf numFmtId="0" fontId="7" fillId="0" borderId="17" xfId="40" applyBorder="1" applyAlignment="1">
      <alignment horizontal="center" vertical="center"/>
    </xf>
    <xf numFmtId="0" fontId="7" fillId="0" borderId="18" xfId="40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166" fontId="4" fillId="2" borderId="4" xfId="0" applyNumberFormat="1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2" borderId="23" xfId="0" applyFont="1" applyFill="1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0" xfId="0" applyAlignment="1">
      <alignment vertical="center"/>
    </xf>
    <xf numFmtId="167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0" xfId="0" applyNumberFormat="1"/>
    <xf numFmtId="0" fontId="7" fillId="0" borderId="2" xfId="40" applyBorder="1" applyAlignment="1">
      <alignment horizontal="center" vertical="center"/>
    </xf>
    <xf numFmtId="0" fontId="7" fillId="0" borderId="0" xfId="40" applyAlignment="1">
      <alignment horizontal="center" vertical="center"/>
    </xf>
    <xf numFmtId="0" fontId="7" fillId="0" borderId="25" xfId="4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67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2" xfId="0" applyBorder="1"/>
    <xf numFmtId="0" fontId="0" fillId="0" borderId="0" xfId="0" applyAlignment="1">
      <alignment horizontal="center" wrapText="1"/>
    </xf>
    <xf numFmtId="167" fontId="0" fillId="0" borderId="0" xfId="0" applyNumberFormat="1" applyAlignment="1">
      <alignment horizontal="center"/>
    </xf>
    <xf numFmtId="165" fontId="3" fillId="27" borderId="12" xfId="1" applyFont="1" applyFill="1" applyBorder="1" applyAlignment="1">
      <alignment horizontal="center"/>
    </xf>
    <xf numFmtId="165" fontId="27" fillId="3" borderId="12" xfId="1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8" fillId="4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left"/>
    </xf>
    <xf numFmtId="2" fontId="0" fillId="3" borderId="13" xfId="0" applyNumberFormat="1" applyFill="1" applyBorder="1" applyAlignment="1">
      <alignment horizontal="center"/>
    </xf>
    <xf numFmtId="167" fontId="1" fillId="3" borderId="12" xfId="0" applyNumberFormat="1" applyFont="1" applyFill="1" applyBorder="1" applyAlignment="1">
      <alignment horizontal="center"/>
    </xf>
    <xf numFmtId="0" fontId="29" fillId="4" borderId="12" xfId="0" applyFont="1" applyFill="1" applyBorder="1" applyAlignment="1">
      <alignment horizontal="center"/>
    </xf>
    <xf numFmtId="2" fontId="1" fillId="3" borderId="13" xfId="0" applyNumberFormat="1" applyFont="1" applyFill="1" applyBorder="1" applyAlignment="1">
      <alignment horizontal="center"/>
    </xf>
    <xf numFmtId="0" fontId="30" fillId="0" borderId="0" xfId="48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49">
    <cellStyle name="20% - Accent1 2" xfId="2" xr:uid="{00000000-0005-0000-0000-000031000000}"/>
    <cellStyle name="20% - Accent2 2" xfId="3" xr:uid="{00000000-0005-0000-0000-000032000000}"/>
    <cellStyle name="20% - Accent3 2" xfId="4" xr:uid="{00000000-0005-0000-0000-000033000000}"/>
    <cellStyle name="20% - Accent4 2" xfId="5" xr:uid="{00000000-0005-0000-0000-000034000000}"/>
    <cellStyle name="20% - Accent5 2" xfId="6" xr:uid="{00000000-0005-0000-0000-000035000000}"/>
    <cellStyle name="20% - Accent6 2" xfId="7" xr:uid="{00000000-0005-0000-0000-000036000000}"/>
    <cellStyle name="40% - Accent1 2" xfId="8" xr:uid="{00000000-0005-0000-0000-000037000000}"/>
    <cellStyle name="40% - Accent2 2" xfId="9" xr:uid="{00000000-0005-0000-0000-000038000000}"/>
    <cellStyle name="40% - Accent3 2" xfId="10" xr:uid="{00000000-0005-0000-0000-000039000000}"/>
    <cellStyle name="40% - Accent4 2" xfId="11" xr:uid="{00000000-0005-0000-0000-00003A000000}"/>
    <cellStyle name="40% - Accent5 2" xfId="12" xr:uid="{00000000-0005-0000-0000-00003B000000}"/>
    <cellStyle name="40% - Accent6 2" xfId="13" xr:uid="{00000000-0005-0000-0000-00003C000000}"/>
    <cellStyle name="60% - Accent1 2" xfId="14" xr:uid="{00000000-0005-0000-0000-00003D000000}"/>
    <cellStyle name="60% - Accent2 2" xfId="15" xr:uid="{00000000-0005-0000-0000-00003E000000}"/>
    <cellStyle name="60% - Accent3 2" xfId="16" xr:uid="{00000000-0005-0000-0000-00003F000000}"/>
    <cellStyle name="60% - Accent4 2" xfId="17" xr:uid="{00000000-0005-0000-0000-000040000000}"/>
    <cellStyle name="60% - Accent5 2" xfId="18" xr:uid="{00000000-0005-0000-0000-000041000000}"/>
    <cellStyle name="60% - Accent6 2" xfId="19" xr:uid="{00000000-0005-0000-0000-000042000000}"/>
    <cellStyle name="Accent1 2" xfId="20" xr:uid="{00000000-0005-0000-0000-000043000000}"/>
    <cellStyle name="Accent2 2" xfId="21" xr:uid="{00000000-0005-0000-0000-000044000000}"/>
    <cellStyle name="Accent3 2" xfId="22" xr:uid="{00000000-0005-0000-0000-000045000000}"/>
    <cellStyle name="Accent4 2" xfId="23" xr:uid="{00000000-0005-0000-0000-000046000000}"/>
    <cellStyle name="Accent5 2" xfId="24" xr:uid="{00000000-0005-0000-0000-000047000000}"/>
    <cellStyle name="Accent6 2" xfId="25" xr:uid="{00000000-0005-0000-0000-000048000000}"/>
    <cellStyle name="Bad 2" xfId="26" xr:uid="{00000000-0005-0000-0000-000049000000}"/>
    <cellStyle name="Calculation 2" xfId="27" xr:uid="{00000000-0005-0000-0000-00004A000000}"/>
    <cellStyle name="Check Cell 2" xfId="28" xr:uid="{00000000-0005-0000-0000-00004B000000}"/>
    <cellStyle name="Comma" xfId="1" builtinId="3"/>
    <cellStyle name="Comma 2" xfId="29" xr:uid="{00000000-0005-0000-0000-00004C000000}"/>
    <cellStyle name="Comma 2 2" xfId="30" xr:uid="{00000000-0005-0000-0000-00004D000000}"/>
    <cellStyle name="Explanatory Text 2" xfId="31" xr:uid="{00000000-0005-0000-0000-00004E000000}"/>
    <cellStyle name="Good 2" xfId="32" xr:uid="{00000000-0005-0000-0000-00004F000000}"/>
    <cellStyle name="Heading 1 2" xfId="33" xr:uid="{00000000-0005-0000-0000-000050000000}"/>
    <cellStyle name="Heading 2 2" xfId="34" xr:uid="{00000000-0005-0000-0000-000051000000}"/>
    <cellStyle name="Heading 3 2" xfId="35" xr:uid="{00000000-0005-0000-0000-000052000000}"/>
    <cellStyle name="Heading 4 2" xfId="36" xr:uid="{00000000-0005-0000-0000-000053000000}"/>
    <cellStyle name="Hyperlink" xfId="48" builtinId="8"/>
    <cellStyle name="Input 2" xfId="37" xr:uid="{00000000-0005-0000-0000-000054000000}"/>
    <cellStyle name="Linked Cell 2" xfId="38" xr:uid="{00000000-0005-0000-0000-000055000000}"/>
    <cellStyle name="Neutral 2" xfId="39" xr:uid="{00000000-0005-0000-0000-000056000000}"/>
    <cellStyle name="Normal" xfId="0" builtinId="0"/>
    <cellStyle name="Normal 2" xfId="40" xr:uid="{00000000-0005-0000-0000-000057000000}"/>
    <cellStyle name="Normal 3" xfId="41" xr:uid="{00000000-0005-0000-0000-000058000000}"/>
    <cellStyle name="Note 2" xfId="42" xr:uid="{00000000-0005-0000-0000-000059000000}"/>
    <cellStyle name="Note 3" xfId="43" xr:uid="{00000000-0005-0000-0000-00005A000000}"/>
    <cellStyle name="Output 2" xfId="44" xr:uid="{00000000-0005-0000-0000-00005B000000}"/>
    <cellStyle name="Title 2" xfId="45" xr:uid="{00000000-0005-0000-0000-00005C000000}"/>
    <cellStyle name="Total 2" xfId="46" xr:uid="{00000000-0005-0000-0000-00005D000000}"/>
    <cellStyle name="Warning Text 2" xfId="47" xr:uid="{00000000-0005-0000-0000-00005E000000}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mserver\All%20Clients%20Data\ONTARIO%20REBAR-Canada\01.11.2023_118%20Avondale%20Ave%20-\6.%20Elizabeth%20Fry%20Transitional%20Hous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oject sheet"/>
      <sheetName val="Estimate Notes"/>
      <sheetName val="Imperial input"/>
      <sheetName val="History Sheet"/>
      <sheetName val="Dwg List"/>
      <sheetName val="Metric input"/>
      <sheetName val="BREAKDOWN DETAILS "/>
      <sheetName val="Estimate Check List"/>
      <sheetName val="Cut Length"/>
      <sheetName val="Tables"/>
      <sheetName val="Notes"/>
    </sheetNames>
    <sheetDataSet>
      <sheetData sheetId="0">
        <row r="7">
          <cell r="A7" t="str">
            <v>Project: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5MM@406%20DOWELL" TargetMode="External"/><Relationship Id="rId1" Type="http://schemas.openxmlformats.org/officeDocument/2006/relationships/hyperlink" Target="mailto:15MM@610%20DOWE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46"/>
  <sheetViews>
    <sheetView tabSelected="1" zoomScaleNormal="100" workbookViewId="0">
      <pane ySplit="11" topLeftCell="A32" activePane="bottomLeft" state="frozen"/>
      <selection pane="bottomLeft" activeCell="M42" sqref="M42"/>
    </sheetView>
  </sheetViews>
  <sheetFormatPr defaultColWidth="9" defaultRowHeight="15"/>
  <cols>
    <col min="1" max="1" width="15" style="1" customWidth="1"/>
    <col min="2" max="2" width="36.140625" style="1" customWidth="1"/>
    <col min="3" max="3" width="6.42578125" style="1" customWidth="1"/>
    <col min="4" max="4" width="4.7109375" style="1" customWidth="1"/>
    <col min="5" max="5" width="8.42578125" style="1" customWidth="1"/>
    <col min="6" max="6" width="11.85546875" style="1" customWidth="1"/>
    <col min="7" max="7" width="11.5703125" style="1" customWidth="1"/>
    <col min="8" max="8" width="14.140625" style="1" customWidth="1"/>
    <col min="9" max="9" width="26.140625" style="1" customWidth="1"/>
    <col min="10" max="10" width="24" style="1" customWidth="1"/>
    <col min="11" max="11" width="17.5703125" style="1" customWidth="1"/>
    <col min="12" max="12" width="14.7109375" style="1" customWidth="1"/>
    <col min="13" max="13" width="19.85546875" style="1" customWidth="1"/>
    <col min="14" max="14" width="9.7109375" customWidth="1"/>
    <col min="15" max="15" width="8.5703125" customWidth="1"/>
    <col min="16" max="16" width="9" customWidth="1"/>
    <col min="17" max="17" width="10.42578125" customWidth="1"/>
    <col min="18" max="18" width="10.7109375" customWidth="1"/>
    <col min="19" max="19" width="9.7109375" customWidth="1"/>
  </cols>
  <sheetData>
    <row r="1" spans="1:19" ht="15" customHeight="1">
      <c r="A1" s="2" t="str">
        <f>[1]Summary!A7</f>
        <v>Project:</v>
      </c>
      <c r="B1" s="62" t="s">
        <v>67</v>
      </c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9" ht="11.25" customHeight="1">
      <c r="A2" s="3"/>
    </row>
    <row r="3" spans="1:19" hidden="1">
      <c r="A3" s="3"/>
      <c r="K3" s="17" t="s">
        <v>6</v>
      </c>
      <c r="L3" s="18" t="s">
        <v>7</v>
      </c>
      <c r="N3" s="19" t="s">
        <v>8</v>
      </c>
      <c r="O3" s="20" t="s">
        <v>9</v>
      </c>
      <c r="P3" s="19" t="s">
        <v>10</v>
      </c>
      <c r="Q3" s="20" t="s">
        <v>11</v>
      </c>
      <c r="R3" s="36" t="s">
        <v>12</v>
      </c>
      <c r="S3" s="20" t="s">
        <v>13</v>
      </c>
    </row>
    <row r="4" spans="1:19" hidden="1">
      <c r="A4" s="3"/>
      <c r="E4" s="1">
        <v>35</v>
      </c>
      <c r="K4" s="17" t="s">
        <v>5</v>
      </c>
      <c r="L4" s="18">
        <v>7.85</v>
      </c>
      <c r="N4" s="21" t="s">
        <v>14</v>
      </c>
      <c r="O4" s="22" t="s">
        <v>15</v>
      </c>
      <c r="P4" s="21" t="s">
        <v>16</v>
      </c>
      <c r="Q4" s="22" t="s">
        <v>17</v>
      </c>
      <c r="R4" s="37" t="s">
        <v>18</v>
      </c>
      <c r="S4" s="22" t="s">
        <v>19</v>
      </c>
    </row>
    <row r="5" spans="1:19" hidden="1">
      <c r="A5" s="3"/>
      <c r="E5" s="1">
        <v>30</v>
      </c>
      <c r="K5" s="17" t="s">
        <v>4</v>
      </c>
      <c r="L5" s="18">
        <v>5.4950000000000001</v>
      </c>
      <c r="N5" s="21" t="s">
        <v>20</v>
      </c>
      <c r="O5" s="22" t="s">
        <v>21</v>
      </c>
      <c r="P5" s="21" t="s">
        <v>22</v>
      </c>
      <c r="Q5" s="22" t="s">
        <v>23</v>
      </c>
      <c r="R5" s="37" t="s">
        <v>24</v>
      </c>
      <c r="S5" s="22" t="s">
        <v>25</v>
      </c>
    </row>
    <row r="6" spans="1:19" hidden="1">
      <c r="A6" s="3"/>
      <c r="E6" s="1">
        <v>25</v>
      </c>
      <c r="K6" s="17" t="s">
        <v>3</v>
      </c>
      <c r="L6" s="18">
        <v>3.9249999999999998</v>
      </c>
      <c r="N6" s="23" t="s">
        <v>26</v>
      </c>
      <c r="O6" s="24" t="s">
        <v>27</v>
      </c>
      <c r="P6" s="23" t="s">
        <v>28</v>
      </c>
      <c r="Q6" s="24" t="s">
        <v>29</v>
      </c>
      <c r="R6" s="38" t="s">
        <v>30</v>
      </c>
      <c r="S6" s="24" t="s">
        <v>31</v>
      </c>
    </row>
    <row r="7" spans="1:19" hidden="1">
      <c r="A7" s="3"/>
      <c r="E7" s="1">
        <v>20</v>
      </c>
      <c r="K7" s="17" t="s">
        <v>2</v>
      </c>
      <c r="L7" s="18">
        <v>2.355</v>
      </c>
    </row>
    <row r="8" spans="1:19" hidden="1">
      <c r="A8" s="3"/>
      <c r="E8" s="1">
        <v>15</v>
      </c>
      <c r="K8" s="17" t="s">
        <v>1</v>
      </c>
      <c r="L8" s="18">
        <v>1.57</v>
      </c>
      <c r="M8" s="63" t="s">
        <v>32</v>
      </c>
      <c r="N8" s="63"/>
      <c r="O8" s="63"/>
      <c r="P8" s="1"/>
      <c r="Q8" s="1"/>
      <c r="R8" s="1"/>
    </row>
    <row r="9" spans="1:19" hidden="1">
      <c r="A9" s="3"/>
      <c r="E9" s="1">
        <v>10</v>
      </c>
      <c r="K9" s="25" t="s">
        <v>0</v>
      </c>
      <c r="L9" s="26">
        <v>0.78500000000000003</v>
      </c>
      <c r="M9" s="64" t="s">
        <v>33</v>
      </c>
      <c r="N9" s="63"/>
      <c r="O9" s="63"/>
    </row>
    <row r="10" spans="1:19">
      <c r="A10" s="4" t="s">
        <v>34</v>
      </c>
      <c r="B10" s="5"/>
      <c r="C10" s="6" t="s">
        <v>35</v>
      </c>
      <c r="D10" s="65" t="s">
        <v>36</v>
      </c>
      <c r="E10" s="65" t="s">
        <v>37</v>
      </c>
      <c r="F10" s="6" t="s">
        <v>38</v>
      </c>
      <c r="G10" s="6" t="s">
        <v>38</v>
      </c>
      <c r="H10" s="65" t="s">
        <v>39</v>
      </c>
      <c r="I10" s="6" t="s">
        <v>40</v>
      </c>
      <c r="J10" s="27" t="s">
        <v>40</v>
      </c>
      <c r="K10" s="5" t="s">
        <v>41</v>
      </c>
      <c r="L10" s="28" t="s">
        <v>42</v>
      </c>
      <c r="M10" s="60" t="s">
        <v>43</v>
      </c>
      <c r="N10" s="29"/>
    </row>
    <row r="11" spans="1:19">
      <c r="A11" s="7"/>
      <c r="B11" s="8" t="s">
        <v>44</v>
      </c>
      <c r="C11" s="9" t="s">
        <v>45</v>
      </c>
      <c r="D11" s="66"/>
      <c r="E11" s="66"/>
      <c r="F11" s="9" t="s">
        <v>50</v>
      </c>
      <c r="G11" s="9" t="s">
        <v>46</v>
      </c>
      <c r="H11" s="66"/>
      <c r="I11" s="9">
        <v>1</v>
      </c>
      <c r="J11" s="9">
        <v>2</v>
      </c>
      <c r="K11" s="9"/>
      <c r="L11" s="30" t="s">
        <v>47</v>
      </c>
      <c r="M11" s="61"/>
      <c r="N11" s="29"/>
      <c r="R11" s="1"/>
    </row>
    <row r="12" spans="1:19" ht="18">
      <c r="A12" s="11">
        <v>1</v>
      </c>
      <c r="B12" s="12" t="s">
        <v>56</v>
      </c>
      <c r="C12" s="13"/>
      <c r="D12" s="13"/>
      <c r="E12" s="13"/>
      <c r="F12" s="13"/>
      <c r="G12" s="13"/>
      <c r="H12" s="13"/>
      <c r="I12" s="13"/>
      <c r="J12" s="13"/>
      <c r="K12" s="33"/>
      <c r="L12" s="34"/>
      <c r="M12" s="10"/>
    </row>
    <row r="13" spans="1:19" ht="14.25" customHeight="1">
      <c r="A13" s="11"/>
      <c r="B13" s="14" t="s">
        <v>59</v>
      </c>
      <c r="C13" s="13"/>
      <c r="D13" s="15"/>
      <c r="E13" s="13"/>
      <c r="F13" s="13"/>
      <c r="G13" s="13"/>
      <c r="H13" s="13"/>
      <c r="I13" s="13"/>
      <c r="J13" s="13"/>
      <c r="K13" s="33"/>
      <c r="L13" s="34"/>
      <c r="M13" s="11"/>
      <c r="N13" s="32"/>
    </row>
    <row r="14" spans="1:19">
      <c r="A14" s="11"/>
      <c r="B14" s="52" t="s">
        <v>68</v>
      </c>
      <c r="C14" s="13">
        <v>1</v>
      </c>
      <c r="D14" s="15">
        <v>10</v>
      </c>
      <c r="E14" s="13">
        <v>15</v>
      </c>
      <c r="F14" s="13"/>
      <c r="G14" s="13">
        <v>850</v>
      </c>
      <c r="H14" s="13" t="s">
        <v>48</v>
      </c>
      <c r="I14" s="13"/>
      <c r="J14" s="44"/>
      <c r="K14" s="33">
        <f>D14*G14*C14/1000</f>
        <v>8.5</v>
      </c>
      <c r="L14" s="34">
        <f>K14*1.57</f>
        <v>13.345000000000001</v>
      </c>
      <c r="M14" s="31"/>
    </row>
    <row r="15" spans="1:19" ht="15.75">
      <c r="A15" s="10"/>
      <c r="B15" s="14" t="s">
        <v>57</v>
      </c>
      <c r="C15" s="13"/>
      <c r="D15" s="15"/>
      <c r="E15" s="13"/>
      <c r="F15" s="13"/>
      <c r="G15" s="13"/>
      <c r="H15" s="13"/>
      <c r="I15" s="13"/>
      <c r="J15" s="13"/>
      <c r="K15" s="33"/>
      <c r="L15" s="34"/>
      <c r="M15" s="11"/>
      <c r="N15" s="32"/>
    </row>
    <row r="16" spans="1:19">
      <c r="A16" s="11"/>
      <c r="B16" s="52" t="s">
        <v>69</v>
      </c>
      <c r="C16" s="13">
        <v>14</v>
      </c>
      <c r="D16" s="15">
        <v>12</v>
      </c>
      <c r="E16" s="13">
        <v>15</v>
      </c>
      <c r="F16" s="13"/>
      <c r="G16" s="13">
        <v>1350</v>
      </c>
      <c r="H16" s="13" t="s">
        <v>48</v>
      </c>
      <c r="I16" s="13"/>
      <c r="J16" s="44"/>
      <c r="K16" s="33">
        <f>D16*G16*C16/1000</f>
        <v>226.8</v>
      </c>
      <c r="L16" s="34">
        <f>K16*1.57</f>
        <v>356.07600000000002</v>
      </c>
      <c r="M16" s="31"/>
      <c r="N16" s="32"/>
      <c r="P16" s="35"/>
    </row>
    <row r="17" spans="1:16" ht="15.75">
      <c r="A17" s="11"/>
      <c r="B17" s="14" t="s">
        <v>58</v>
      </c>
      <c r="C17" s="13"/>
      <c r="D17" s="15"/>
      <c r="E17" s="13"/>
      <c r="F17" s="13"/>
      <c r="G17" s="13"/>
      <c r="H17" s="13"/>
      <c r="I17" s="13"/>
      <c r="J17" s="13"/>
      <c r="K17" s="33"/>
      <c r="L17" s="34"/>
      <c r="M17" s="11"/>
      <c r="N17" s="32"/>
      <c r="P17" s="35"/>
    </row>
    <row r="18" spans="1:16">
      <c r="B18" s="52" t="s">
        <v>69</v>
      </c>
      <c r="C18" s="13">
        <v>12</v>
      </c>
      <c r="D18" s="15">
        <v>12</v>
      </c>
      <c r="E18" s="13">
        <v>15</v>
      </c>
      <c r="F18" s="13"/>
      <c r="G18" s="13">
        <v>1450</v>
      </c>
      <c r="H18" s="13" t="s">
        <v>48</v>
      </c>
      <c r="I18" s="13"/>
      <c r="J18" s="44"/>
      <c r="K18" s="33">
        <f>D18*G18*C18/1000</f>
        <v>208.8</v>
      </c>
      <c r="L18" s="34">
        <f>K18*1.57</f>
        <v>327.81600000000003</v>
      </c>
      <c r="M18" s="31"/>
      <c r="N18" s="32"/>
      <c r="P18" s="35"/>
    </row>
    <row r="19" spans="1:16" ht="15.75">
      <c r="B19" s="14" t="s">
        <v>60</v>
      </c>
      <c r="C19" s="13"/>
      <c r="D19" s="15"/>
      <c r="E19" s="13"/>
      <c r="F19" s="13"/>
      <c r="G19" s="13"/>
      <c r="H19" s="13"/>
      <c r="I19" s="13"/>
      <c r="J19" s="13"/>
      <c r="K19" s="33"/>
      <c r="L19" s="34"/>
      <c r="M19" s="11"/>
      <c r="N19" s="32"/>
      <c r="P19" s="35"/>
    </row>
    <row r="20" spans="1:16">
      <c r="A20" s="11"/>
      <c r="B20" s="52" t="s">
        <v>69</v>
      </c>
      <c r="C20" s="13">
        <v>9</v>
      </c>
      <c r="D20" s="15">
        <v>14</v>
      </c>
      <c r="E20" s="13">
        <v>15</v>
      </c>
      <c r="F20" s="13"/>
      <c r="G20" s="13">
        <v>1550</v>
      </c>
      <c r="H20" s="13" t="s">
        <v>48</v>
      </c>
      <c r="I20" s="13"/>
      <c r="J20" s="44"/>
      <c r="K20" s="33">
        <f>D20*G20*C20/1000</f>
        <v>195.3</v>
      </c>
      <c r="L20" s="34">
        <f>K20*1.57</f>
        <v>306.62100000000004</v>
      </c>
      <c r="M20" s="31"/>
      <c r="N20" s="32"/>
      <c r="P20" s="35"/>
    </row>
    <row r="21" spans="1:16" ht="15.75">
      <c r="A21" s="11"/>
      <c r="B21" s="14" t="s">
        <v>61</v>
      </c>
      <c r="C21" s="13"/>
      <c r="D21" s="15"/>
      <c r="E21" s="13"/>
      <c r="F21" s="13"/>
      <c r="G21" s="13"/>
      <c r="H21" s="13"/>
      <c r="I21" s="13"/>
      <c r="J21" s="13"/>
      <c r="K21" s="33"/>
      <c r="L21" s="34"/>
      <c r="M21" s="11"/>
      <c r="N21" s="32"/>
      <c r="P21" s="35"/>
    </row>
    <row r="22" spans="1:16">
      <c r="A22" s="10"/>
      <c r="B22" s="52" t="s">
        <v>69</v>
      </c>
      <c r="C22" s="13">
        <v>4</v>
      </c>
      <c r="D22" s="15">
        <v>14</v>
      </c>
      <c r="E22" s="13">
        <v>20</v>
      </c>
      <c r="F22" s="13"/>
      <c r="G22" s="13">
        <v>1650</v>
      </c>
      <c r="H22" s="13" t="s">
        <v>48</v>
      </c>
      <c r="I22" s="13"/>
      <c r="J22" s="44"/>
      <c r="K22" s="33">
        <f>D22*G22*C22/1000</f>
        <v>92.4</v>
      </c>
      <c r="L22" s="34">
        <f>K22*1.57</f>
        <v>145.06800000000001</v>
      </c>
      <c r="M22" s="31"/>
      <c r="N22" s="32"/>
      <c r="P22" s="35"/>
    </row>
    <row r="23" spans="1:16" ht="15.75">
      <c r="A23" s="11"/>
      <c r="B23" s="14" t="s">
        <v>62</v>
      </c>
      <c r="C23" s="13"/>
      <c r="D23" s="15"/>
      <c r="E23" s="13"/>
      <c r="F23" s="13"/>
      <c r="G23" s="13"/>
      <c r="H23" s="13"/>
      <c r="I23" s="13"/>
      <c r="J23" s="13"/>
      <c r="K23" s="33"/>
      <c r="L23" s="34"/>
      <c r="M23" s="11"/>
      <c r="N23" s="32"/>
      <c r="P23" s="35"/>
    </row>
    <row r="24" spans="1:16">
      <c r="A24" s="11"/>
      <c r="B24" s="52" t="s">
        <v>69</v>
      </c>
      <c r="C24" s="13">
        <v>2</v>
      </c>
      <c r="D24" s="15">
        <v>16</v>
      </c>
      <c r="E24" s="13">
        <v>20</v>
      </c>
      <c r="F24" s="13"/>
      <c r="G24" s="13">
        <v>1850</v>
      </c>
      <c r="H24" s="13" t="s">
        <v>48</v>
      </c>
      <c r="I24" s="13"/>
      <c r="J24" s="44"/>
      <c r="K24" s="33">
        <f>D24*G24*C24/1000</f>
        <v>59.2</v>
      </c>
      <c r="L24" s="34">
        <f>K24*1.57</f>
        <v>92.944000000000003</v>
      </c>
      <c r="M24" s="31"/>
      <c r="N24" s="32"/>
      <c r="P24" s="35"/>
    </row>
    <row r="25" spans="1:16" ht="15.75">
      <c r="A25" s="11"/>
      <c r="B25" s="14" t="s">
        <v>70</v>
      </c>
      <c r="C25" s="13"/>
      <c r="D25" s="15"/>
      <c r="E25" s="13"/>
      <c r="F25" s="13"/>
      <c r="G25" s="13"/>
      <c r="H25" s="13"/>
      <c r="I25" s="13"/>
      <c r="J25" s="13"/>
      <c r="K25" s="33"/>
      <c r="L25" s="34"/>
      <c r="M25" s="11"/>
      <c r="N25" s="32"/>
      <c r="P25" s="35"/>
    </row>
    <row r="26" spans="1:16">
      <c r="A26" s="11"/>
      <c r="B26" s="52" t="s">
        <v>69</v>
      </c>
      <c r="C26" s="13">
        <v>1</v>
      </c>
      <c r="D26" s="15">
        <v>16</v>
      </c>
      <c r="E26" s="13">
        <v>20</v>
      </c>
      <c r="F26" s="13"/>
      <c r="G26" s="13">
        <v>1950</v>
      </c>
      <c r="H26" s="13" t="s">
        <v>48</v>
      </c>
      <c r="I26" s="13"/>
      <c r="J26" s="44"/>
      <c r="K26" s="33">
        <f>D26*G26*C26/1000</f>
        <v>31.2</v>
      </c>
      <c r="L26" s="34">
        <f>K26*1.57</f>
        <v>48.984000000000002</v>
      </c>
      <c r="M26" s="31"/>
      <c r="N26" s="32"/>
      <c r="P26" s="35"/>
    </row>
    <row r="27" spans="1:16" ht="15.75">
      <c r="A27" s="10"/>
      <c r="B27" s="14" t="s">
        <v>71</v>
      </c>
      <c r="C27" s="13"/>
      <c r="D27" s="15"/>
      <c r="E27" s="13"/>
      <c r="F27" s="13"/>
      <c r="G27" s="13"/>
      <c r="H27" s="13"/>
      <c r="I27" s="13"/>
      <c r="J27" s="13"/>
      <c r="K27" s="33"/>
      <c r="L27" s="34"/>
      <c r="M27" s="11"/>
      <c r="N27" s="32"/>
      <c r="P27" s="35"/>
    </row>
    <row r="28" spans="1:16">
      <c r="A28" s="11"/>
      <c r="B28" s="52" t="s">
        <v>69</v>
      </c>
      <c r="C28" s="13">
        <v>4</v>
      </c>
      <c r="D28" s="15">
        <v>18</v>
      </c>
      <c r="E28" s="13">
        <v>15</v>
      </c>
      <c r="F28" s="13"/>
      <c r="G28" s="13">
        <v>2050</v>
      </c>
      <c r="H28" s="13" t="s">
        <v>48</v>
      </c>
      <c r="I28" s="13"/>
      <c r="J28" s="44"/>
      <c r="K28" s="33">
        <f>D28*G28*C28/1000</f>
        <v>147.6</v>
      </c>
      <c r="L28" s="34">
        <f>K28*1.57</f>
        <v>231.732</v>
      </c>
      <c r="M28" s="31"/>
      <c r="N28" s="32"/>
      <c r="P28" s="35"/>
    </row>
    <row r="29" spans="1:16">
      <c r="A29" s="11"/>
      <c r="N29" s="32"/>
      <c r="P29" s="35"/>
    </row>
    <row r="30" spans="1:16" ht="15.75">
      <c r="A30" s="11"/>
      <c r="B30" s="14" t="s">
        <v>77</v>
      </c>
      <c r="C30" s="13"/>
      <c r="D30" s="15"/>
      <c r="E30" s="13"/>
      <c r="F30" s="13"/>
      <c r="G30" s="13"/>
      <c r="H30" s="13"/>
      <c r="I30" s="13"/>
      <c r="J30" s="13"/>
      <c r="K30" s="33"/>
      <c r="L30" s="34"/>
      <c r="M30" s="11"/>
      <c r="N30" s="32"/>
      <c r="P30" s="35"/>
    </row>
    <row r="31" spans="1:16">
      <c r="B31" s="52" t="s">
        <v>69</v>
      </c>
      <c r="C31" s="13">
        <v>1</v>
      </c>
      <c r="D31" s="15">
        <v>6</v>
      </c>
      <c r="E31" s="13">
        <v>15</v>
      </c>
      <c r="F31" s="13"/>
      <c r="G31" s="13">
        <v>4050</v>
      </c>
      <c r="H31" s="13" t="s">
        <v>48</v>
      </c>
      <c r="I31" s="13"/>
      <c r="J31" s="44"/>
      <c r="K31" s="33">
        <f>D31*G31*C31/1000</f>
        <v>24.3</v>
      </c>
      <c r="L31" s="34">
        <f>K31*1.57</f>
        <v>38.151000000000003</v>
      </c>
      <c r="M31" s="31"/>
      <c r="N31" s="32"/>
      <c r="P31" s="35"/>
    </row>
    <row r="32" spans="1:16">
      <c r="A32" s="11"/>
      <c r="B32" s="52" t="s">
        <v>69</v>
      </c>
      <c r="C32" s="13">
        <v>1</v>
      </c>
      <c r="D32" s="15">
        <v>18</v>
      </c>
      <c r="E32" s="13">
        <v>15</v>
      </c>
      <c r="F32" s="13"/>
      <c r="G32" s="13">
        <v>1350</v>
      </c>
      <c r="H32" s="13" t="s">
        <v>48</v>
      </c>
      <c r="I32" s="13"/>
      <c r="J32" s="44"/>
      <c r="K32" s="33">
        <f>D32*G32*C32/1000</f>
        <v>24.3</v>
      </c>
      <c r="L32" s="34">
        <f>K32*1.57</f>
        <v>38.151000000000003</v>
      </c>
      <c r="M32" s="31"/>
      <c r="N32" s="32"/>
      <c r="P32" s="35"/>
    </row>
    <row r="33" spans="1:16">
      <c r="A33" s="11"/>
      <c r="P33" s="35"/>
    </row>
    <row r="34" spans="1:16" ht="15.75">
      <c r="A34" s="11"/>
      <c r="B34" s="14" t="s">
        <v>78</v>
      </c>
      <c r="C34" s="13"/>
      <c r="D34" s="15"/>
      <c r="E34" s="13"/>
      <c r="F34" s="13"/>
      <c r="G34" s="13"/>
      <c r="H34" s="13"/>
      <c r="I34" s="13"/>
      <c r="J34" s="13"/>
      <c r="K34" s="33"/>
      <c r="L34" s="34"/>
      <c r="M34" s="11"/>
      <c r="P34" s="35"/>
    </row>
    <row r="35" spans="1:16">
      <c r="A35" s="11"/>
      <c r="B35" s="52" t="s">
        <v>69</v>
      </c>
      <c r="C35" s="13">
        <v>1</v>
      </c>
      <c r="D35" s="15">
        <v>6</v>
      </c>
      <c r="E35" s="13">
        <v>15</v>
      </c>
      <c r="F35" s="13"/>
      <c r="G35" s="13">
        <v>2000</v>
      </c>
      <c r="H35" s="13" t="s">
        <v>48</v>
      </c>
      <c r="I35" s="13"/>
      <c r="J35" s="44"/>
      <c r="K35" s="33">
        <f>D35*G35*C35/1000</f>
        <v>12</v>
      </c>
      <c r="L35" s="34">
        <f>K35*1.57</f>
        <v>18.84</v>
      </c>
      <c r="M35" s="31"/>
      <c r="N35" s="32"/>
      <c r="P35" s="35"/>
    </row>
    <row r="36" spans="1:16">
      <c r="A36" s="11"/>
      <c r="B36" s="52" t="s">
        <v>69</v>
      </c>
      <c r="C36" s="13">
        <v>1</v>
      </c>
      <c r="D36" s="15">
        <v>8</v>
      </c>
      <c r="E36" s="13">
        <v>15</v>
      </c>
      <c r="F36" s="13"/>
      <c r="G36" s="13">
        <v>1350</v>
      </c>
      <c r="H36" s="13" t="s">
        <v>48</v>
      </c>
      <c r="I36" s="13"/>
      <c r="J36" s="44"/>
      <c r="K36" s="33">
        <f>D36*G36*C36/1000</f>
        <v>10.8</v>
      </c>
      <c r="L36" s="34">
        <f>K36*1.57</f>
        <v>16.956000000000003</v>
      </c>
      <c r="M36" s="31"/>
      <c r="N36" s="32"/>
      <c r="P36" s="35"/>
    </row>
    <row r="37" spans="1:16">
      <c r="A37" s="11"/>
      <c r="P37" s="35"/>
    </row>
    <row r="38" spans="1:16" ht="15.75">
      <c r="A38" s="11"/>
      <c r="B38" s="14" t="s">
        <v>72</v>
      </c>
      <c r="C38" s="13"/>
      <c r="D38" s="15"/>
      <c r="E38" s="13"/>
      <c r="F38" s="13"/>
      <c r="G38" s="13"/>
      <c r="H38" s="13"/>
      <c r="I38" s="13"/>
      <c r="J38" s="13"/>
      <c r="K38" s="33"/>
      <c r="L38" s="34"/>
      <c r="M38" s="11"/>
      <c r="N38" s="32"/>
      <c r="P38" s="35"/>
    </row>
    <row r="39" spans="1:16">
      <c r="A39" s="11"/>
      <c r="B39" s="52" t="s">
        <v>86</v>
      </c>
      <c r="C39" s="13">
        <v>1</v>
      </c>
      <c r="D39" s="15">
        <v>4</v>
      </c>
      <c r="E39" s="13">
        <v>20</v>
      </c>
      <c r="F39" s="13"/>
      <c r="G39" s="13">
        <v>165817</v>
      </c>
      <c r="H39" s="13" t="s">
        <v>48</v>
      </c>
      <c r="I39" s="13"/>
      <c r="J39" s="44"/>
      <c r="K39" s="33">
        <f>D39*G39*C39/1000</f>
        <v>663.26800000000003</v>
      </c>
      <c r="L39" s="34">
        <f>K39*2.355</f>
        <v>1561.99614</v>
      </c>
      <c r="M39" s="31"/>
      <c r="N39" s="32"/>
      <c r="P39" s="35"/>
    </row>
    <row r="40" spans="1:16">
      <c r="A40" s="11"/>
      <c r="B40" s="57" t="s">
        <v>87</v>
      </c>
      <c r="C40" s="13">
        <v>2</v>
      </c>
      <c r="D40" s="15">
        <v>243</v>
      </c>
      <c r="E40" s="13">
        <v>15</v>
      </c>
      <c r="F40" s="13"/>
      <c r="G40" s="13">
        <v>457</v>
      </c>
      <c r="H40" s="13" t="s">
        <v>48</v>
      </c>
      <c r="I40" s="13"/>
      <c r="J40" s="44"/>
      <c r="K40" s="33">
        <f>D40*G40*C40/1000</f>
        <v>222.102</v>
      </c>
      <c r="L40" s="34">
        <f>K40*1.57</f>
        <v>348.70014000000003</v>
      </c>
      <c r="M40" s="31"/>
      <c r="N40" s="32"/>
      <c r="P40" s="35"/>
    </row>
    <row r="41" spans="1:16">
      <c r="A41" s="11"/>
      <c r="B41" s="57" t="s">
        <v>88</v>
      </c>
      <c r="C41" s="13">
        <v>1</v>
      </c>
      <c r="D41" s="15">
        <v>365</v>
      </c>
      <c r="E41" s="13">
        <v>15</v>
      </c>
      <c r="F41" s="13"/>
      <c r="G41" s="13">
        <v>1150</v>
      </c>
      <c r="H41" s="13" t="s">
        <v>89</v>
      </c>
      <c r="I41" s="13"/>
      <c r="J41" s="44"/>
      <c r="K41" s="33">
        <f>D41*G41*C41/1000</f>
        <v>419.75</v>
      </c>
      <c r="L41" s="34">
        <f>K41*1.57</f>
        <v>659.00750000000005</v>
      </c>
      <c r="M41" s="31"/>
      <c r="N41" s="32"/>
      <c r="P41" s="35"/>
    </row>
    <row r="42" spans="1:16">
      <c r="A42" s="10"/>
      <c r="N42" s="32"/>
      <c r="P42" s="35"/>
    </row>
    <row r="43" spans="1:16">
      <c r="A43" s="11"/>
      <c r="N43" s="32"/>
      <c r="P43" s="35"/>
    </row>
    <row r="44" spans="1:16" ht="18">
      <c r="A44" s="11"/>
      <c r="B44" s="12" t="s">
        <v>51</v>
      </c>
      <c r="C44" s="13"/>
      <c r="D44" s="13"/>
      <c r="E44" s="13"/>
      <c r="F44" s="13"/>
      <c r="G44" s="13"/>
      <c r="H44" s="13"/>
      <c r="I44" s="13"/>
      <c r="J44" s="13"/>
      <c r="K44" s="33"/>
      <c r="L44" s="34"/>
      <c r="M44" s="10"/>
      <c r="N44" s="32"/>
      <c r="P44" s="35"/>
    </row>
    <row r="45" spans="1:16" ht="15.75">
      <c r="A45" s="11"/>
      <c r="B45" s="14" t="s">
        <v>52</v>
      </c>
      <c r="C45" s="13"/>
      <c r="D45" s="15"/>
      <c r="E45" s="13"/>
      <c r="F45" s="13"/>
      <c r="G45" s="13"/>
      <c r="H45" s="13"/>
      <c r="I45" s="13"/>
      <c r="J45" s="13"/>
      <c r="K45" s="33"/>
      <c r="L45" s="34"/>
      <c r="M45" s="11"/>
      <c r="N45" s="32"/>
      <c r="P45" s="35"/>
    </row>
    <row r="46" spans="1:16">
      <c r="A46" s="11"/>
      <c r="B46" s="52" t="s">
        <v>73</v>
      </c>
      <c r="C46" s="13">
        <v>1</v>
      </c>
      <c r="D46" s="15">
        <v>4</v>
      </c>
      <c r="E46" s="13">
        <v>15</v>
      </c>
      <c r="F46" s="13"/>
      <c r="G46" s="13">
        <v>1535</v>
      </c>
      <c r="H46" s="13" t="s">
        <v>48</v>
      </c>
      <c r="I46" s="13"/>
      <c r="J46" s="44"/>
      <c r="K46" s="33">
        <f>D46*G46*C46/1000</f>
        <v>6.14</v>
      </c>
      <c r="L46" s="34">
        <f>K46*1.57</f>
        <v>9.6397999999999993</v>
      </c>
      <c r="M46" s="31"/>
      <c r="N46" s="32"/>
      <c r="P46" s="35"/>
    </row>
    <row r="47" spans="1:16">
      <c r="A47" s="10"/>
      <c r="B47" s="16" t="s">
        <v>53</v>
      </c>
      <c r="C47" s="13">
        <v>1</v>
      </c>
      <c r="D47" s="15">
        <v>5</v>
      </c>
      <c r="E47" s="13">
        <v>10</v>
      </c>
      <c r="F47" s="13"/>
      <c r="G47" s="13">
        <v>1350</v>
      </c>
      <c r="H47" s="13" t="s">
        <v>65</v>
      </c>
      <c r="I47" s="13"/>
      <c r="J47" s="44"/>
      <c r="K47" s="33">
        <f>D47*G47*C47/1000</f>
        <v>6.75</v>
      </c>
      <c r="L47" s="34">
        <f>K47*0.785</f>
        <v>5.2987500000000001</v>
      </c>
      <c r="M47" s="31"/>
      <c r="N47" s="32"/>
      <c r="P47" s="35"/>
    </row>
    <row r="48" spans="1:16" ht="18">
      <c r="A48" s="11"/>
      <c r="B48" s="48"/>
      <c r="C48" s="13"/>
      <c r="D48" s="13"/>
      <c r="E48" s="13"/>
      <c r="F48" s="13"/>
      <c r="G48" s="13"/>
      <c r="H48" s="13"/>
      <c r="I48" s="13"/>
      <c r="J48" s="13"/>
      <c r="K48" s="33"/>
      <c r="L48" s="34"/>
      <c r="M48" s="31"/>
      <c r="N48" s="32"/>
      <c r="P48" s="35"/>
    </row>
    <row r="49" spans="1:16" ht="15.75">
      <c r="A49" s="11"/>
      <c r="B49" s="14" t="s">
        <v>54</v>
      </c>
      <c r="C49" s="13"/>
      <c r="D49" s="15"/>
      <c r="E49" s="13"/>
      <c r="F49" s="13"/>
      <c r="G49" s="13"/>
      <c r="H49" s="13"/>
      <c r="I49" s="13"/>
      <c r="J49" s="13"/>
      <c r="K49" s="33"/>
      <c r="L49" s="34"/>
      <c r="M49" s="11"/>
      <c r="N49" s="32"/>
      <c r="P49" s="35"/>
    </row>
    <row r="50" spans="1:16">
      <c r="A50" s="11"/>
      <c r="B50" s="52" t="s">
        <v>73</v>
      </c>
      <c r="C50" s="13">
        <v>14</v>
      </c>
      <c r="D50" s="15">
        <v>4</v>
      </c>
      <c r="E50" s="13">
        <v>15</v>
      </c>
      <c r="F50" s="13"/>
      <c r="G50" s="13">
        <v>1535</v>
      </c>
      <c r="H50" s="13" t="s">
        <v>48</v>
      </c>
      <c r="I50" s="13"/>
      <c r="J50" s="44"/>
      <c r="K50" s="33">
        <f>D50*G50*C50/1000</f>
        <v>85.96</v>
      </c>
      <c r="L50" s="34">
        <f>K50*1.57</f>
        <v>134.9572</v>
      </c>
      <c r="M50" s="31"/>
      <c r="N50" s="32"/>
      <c r="P50" s="35"/>
    </row>
    <row r="51" spans="1:16">
      <c r="A51" s="11"/>
      <c r="B51" s="16" t="s">
        <v>53</v>
      </c>
      <c r="C51" s="13">
        <v>14</v>
      </c>
      <c r="D51" s="15">
        <v>5</v>
      </c>
      <c r="E51" s="13">
        <v>10</v>
      </c>
      <c r="F51" s="13"/>
      <c r="G51" s="13">
        <v>1350</v>
      </c>
      <c r="H51" s="13" t="s">
        <v>65</v>
      </c>
      <c r="I51" s="13"/>
      <c r="J51" s="44"/>
      <c r="K51" s="33">
        <f>D51*G51*C51/1000</f>
        <v>94.5</v>
      </c>
      <c r="L51" s="34">
        <f>K51*0.785</f>
        <v>74.182500000000005</v>
      </c>
      <c r="M51" s="31"/>
      <c r="N51" s="32"/>
      <c r="P51" s="35"/>
    </row>
    <row r="52" spans="1:16">
      <c r="A52" s="10"/>
      <c r="N52" s="32"/>
      <c r="P52" s="35"/>
    </row>
    <row r="53" spans="1:16" ht="15.75">
      <c r="A53" s="11"/>
      <c r="B53" s="14" t="s">
        <v>55</v>
      </c>
      <c r="C53" s="13"/>
      <c r="D53" s="15"/>
      <c r="E53" s="13"/>
      <c r="F53" s="13"/>
      <c r="G53" s="13"/>
      <c r="H53" s="13"/>
      <c r="I53" s="13"/>
      <c r="J53" s="13"/>
      <c r="K53" s="33"/>
      <c r="L53" s="34"/>
      <c r="M53" s="11"/>
      <c r="N53" s="32"/>
      <c r="P53" s="35"/>
    </row>
    <row r="54" spans="1:16">
      <c r="A54" s="11"/>
      <c r="B54" s="52" t="s">
        <v>73</v>
      </c>
      <c r="C54" s="13">
        <v>12</v>
      </c>
      <c r="D54" s="15">
        <v>4</v>
      </c>
      <c r="E54" s="13">
        <v>15</v>
      </c>
      <c r="F54" s="13"/>
      <c r="G54" s="13">
        <v>1535</v>
      </c>
      <c r="H54" s="13" t="s">
        <v>48</v>
      </c>
      <c r="I54" s="13"/>
      <c r="J54" s="44"/>
      <c r="K54" s="33">
        <f>D54*G54*C54/1000</f>
        <v>73.680000000000007</v>
      </c>
      <c r="L54" s="34">
        <f>K54*1.57</f>
        <v>115.67760000000001</v>
      </c>
      <c r="M54" s="31"/>
      <c r="N54" s="32"/>
      <c r="P54" s="35"/>
    </row>
    <row r="55" spans="1:16">
      <c r="A55" s="11"/>
      <c r="B55" s="16" t="s">
        <v>53</v>
      </c>
      <c r="C55" s="13">
        <v>12</v>
      </c>
      <c r="D55" s="15">
        <v>5</v>
      </c>
      <c r="E55" s="13">
        <v>10</v>
      </c>
      <c r="F55" s="13"/>
      <c r="G55" s="13">
        <v>1350</v>
      </c>
      <c r="H55" s="13" t="s">
        <v>65</v>
      </c>
      <c r="I55" s="13"/>
      <c r="J55" s="44"/>
      <c r="K55" s="33">
        <f>D55*G55*C55/1000</f>
        <v>81</v>
      </c>
      <c r="L55" s="34">
        <f>K55*0.785</f>
        <v>63.585000000000001</v>
      </c>
      <c r="M55" s="31"/>
      <c r="N55" s="32"/>
      <c r="P55" s="35"/>
    </row>
    <row r="56" spans="1:16">
      <c r="A56" s="11"/>
      <c r="N56" s="32"/>
      <c r="P56" s="35"/>
    </row>
    <row r="57" spans="1:16" ht="15.75">
      <c r="A57" s="10"/>
      <c r="B57" s="14" t="s">
        <v>74</v>
      </c>
      <c r="C57" s="13"/>
      <c r="D57" s="15"/>
      <c r="E57" s="13"/>
      <c r="F57" s="13"/>
      <c r="G57" s="13"/>
      <c r="H57" s="13"/>
      <c r="I57" s="13"/>
      <c r="J57" s="13"/>
      <c r="K57" s="33"/>
      <c r="L57" s="34"/>
      <c r="M57" s="11"/>
      <c r="N57" s="32"/>
      <c r="P57" s="35"/>
    </row>
    <row r="58" spans="1:16">
      <c r="A58" s="11"/>
      <c r="B58" s="52" t="s">
        <v>73</v>
      </c>
      <c r="C58" s="13">
        <v>9</v>
      </c>
      <c r="D58" s="15">
        <v>4</v>
      </c>
      <c r="E58" s="13">
        <v>15</v>
      </c>
      <c r="F58" s="13"/>
      <c r="G58" s="13">
        <v>1535</v>
      </c>
      <c r="H58" s="13" t="s">
        <v>48</v>
      </c>
      <c r="I58" s="13"/>
      <c r="J58" s="44"/>
      <c r="K58" s="33">
        <f>D58*G58*C58/1000</f>
        <v>55.26</v>
      </c>
      <c r="L58" s="34">
        <f>K58*1.57</f>
        <v>86.758200000000002</v>
      </c>
      <c r="M58" s="31"/>
      <c r="N58" s="32"/>
      <c r="P58" s="35"/>
    </row>
    <row r="59" spans="1:16">
      <c r="A59" s="11"/>
      <c r="B59" s="16" t="s">
        <v>53</v>
      </c>
      <c r="C59" s="13">
        <v>9</v>
      </c>
      <c r="D59" s="15">
        <v>5</v>
      </c>
      <c r="E59" s="13">
        <v>10</v>
      </c>
      <c r="F59" s="13"/>
      <c r="G59" s="13">
        <v>1350</v>
      </c>
      <c r="H59" s="13" t="s">
        <v>65</v>
      </c>
      <c r="I59" s="13"/>
      <c r="J59" s="44"/>
      <c r="K59" s="33">
        <f>D59*G59*C59/1000</f>
        <v>60.75</v>
      </c>
      <c r="L59" s="34">
        <f>K59*0.785</f>
        <v>47.688749999999999</v>
      </c>
      <c r="M59" s="31"/>
      <c r="N59" s="32"/>
      <c r="P59" s="35"/>
    </row>
    <row r="60" spans="1:16">
      <c r="A60" s="11"/>
      <c r="N60" s="32"/>
      <c r="P60" s="35"/>
    </row>
    <row r="61" spans="1:16" ht="15.75">
      <c r="A61" s="11"/>
      <c r="B61" s="14" t="s">
        <v>63</v>
      </c>
      <c r="C61" s="13"/>
      <c r="D61" s="15"/>
      <c r="E61" s="13"/>
      <c r="F61" s="13"/>
      <c r="G61" s="13"/>
      <c r="H61" s="13"/>
      <c r="I61" s="13"/>
      <c r="J61" s="13"/>
      <c r="K61" s="33"/>
      <c r="L61" s="34"/>
      <c r="M61" s="11"/>
      <c r="N61" s="32"/>
      <c r="P61" s="35"/>
    </row>
    <row r="62" spans="1:16">
      <c r="A62" s="10"/>
      <c r="B62" s="52" t="s">
        <v>73</v>
      </c>
      <c r="C62" s="13">
        <v>4</v>
      </c>
      <c r="D62" s="15">
        <v>4</v>
      </c>
      <c r="E62" s="13">
        <v>15</v>
      </c>
      <c r="F62" s="13"/>
      <c r="G62" s="13">
        <v>1535</v>
      </c>
      <c r="H62" s="13" t="s">
        <v>48</v>
      </c>
      <c r="I62" s="13"/>
      <c r="J62" s="44"/>
      <c r="K62" s="33">
        <f>D62*G62*C62/1000</f>
        <v>24.56</v>
      </c>
      <c r="L62" s="34">
        <f>K62*1.57</f>
        <v>38.559199999999997</v>
      </c>
      <c r="M62" s="31"/>
      <c r="N62" s="32"/>
      <c r="P62" s="35"/>
    </row>
    <row r="63" spans="1:16">
      <c r="A63" s="11"/>
      <c r="B63" s="16" t="s">
        <v>53</v>
      </c>
      <c r="C63" s="13">
        <v>4</v>
      </c>
      <c r="D63" s="15">
        <v>5</v>
      </c>
      <c r="E63" s="13">
        <v>10</v>
      </c>
      <c r="F63" s="13"/>
      <c r="G63" s="13">
        <v>1350</v>
      </c>
      <c r="H63" s="13" t="s">
        <v>65</v>
      </c>
      <c r="I63" s="13"/>
      <c r="J63" s="44"/>
      <c r="K63" s="33">
        <f>D63*G63*C63/1000</f>
        <v>27</v>
      </c>
      <c r="L63" s="34">
        <f>K63*0.785</f>
        <v>21.195</v>
      </c>
      <c r="M63" s="31"/>
      <c r="P63" s="35"/>
    </row>
    <row r="64" spans="1:16">
      <c r="A64" s="11"/>
      <c r="N64" s="32"/>
      <c r="P64" s="35"/>
    </row>
    <row r="65" spans="1:16" ht="15.75">
      <c r="A65" s="11"/>
      <c r="B65" s="14" t="s">
        <v>64</v>
      </c>
      <c r="C65" s="13"/>
      <c r="D65" s="15"/>
      <c r="E65" s="13"/>
      <c r="F65" s="13"/>
      <c r="G65" s="13"/>
      <c r="H65" s="13"/>
      <c r="I65" s="13"/>
      <c r="J65" s="13"/>
      <c r="K65" s="33"/>
      <c r="L65" s="34"/>
      <c r="M65" s="11"/>
      <c r="N65" s="32"/>
      <c r="P65" s="35"/>
    </row>
    <row r="66" spans="1:16">
      <c r="A66" s="11"/>
      <c r="B66" s="52" t="s">
        <v>73</v>
      </c>
      <c r="C66" s="13">
        <v>2</v>
      </c>
      <c r="D66" s="15">
        <v>4</v>
      </c>
      <c r="E66" s="13">
        <v>15</v>
      </c>
      <c r="F66" s="13"/>
      <c r="G66" s="13">
        <v>1535</v>
      </c>
      <c r="H66" s="13" t="s">
        <v>48</v>
      </c>
      <c r="I66" s="13"/>
      <c r="J66" s="44"/>
      <c r="K66" s="33">
        <f>D66*G66*C66/1000</f>
        <v>12.28</v>
      </c>
      <c r="L66" s="34">
        <f>K66*1.57</f>
        <v>19.279599999999999</v>
      </c>
      <c r="M66" s="31"/>
      <c r="N66" s="32"/>
      <c r="P66" s="35"/>
    </row>
    <row r="67" spans="1:16">
      <c r="A67" s="10"/>
      <c r="B67" s="16" t="s">
        <v>53</v>
      </c>
      <c r="C67" s="13">
        <v>2</v>
      </c>
      <c r="D67" s="15">
        <v>5</v>
      </c>
      <c r="E67" s="13">
        <v>10</v>
      </c>
      <c r="F67" s="13"/>
      <c r="G67" s="13">
        <v>1350</v>
      </c>
      <c r="H67" s="13" t="s">
        <v>65</v>
      </c>
      <c r="I67" s="13"/>
      <c r="J67" s="44"/>
      <c r="K67" s="33">
        <f>D67*G67*C67/1000</f>
        <v>13.5</v>
      </c>
      <c r="L67" s="34">
        <f>K67*0.785</f>
        <v>10.5975</v>
      </c>
      <c r="M67" s="31"/>
      <c r="N67" s="32"/>
      <c r="P67" s="35"/>
    </row>
    <row r="68" spans="1:16">
      <c r="A68" s="11"/>
      <c r="N68" s="32"/>
      <c r="P68" s="35"/>
    </row>
    <row r="69" spans="1:16" ht="15.75">
      <c r="A69" s="11"/>
      <c r="B69" s="14" t="s">
        <v>75</v>
      </c>
      <c r="C69" s="13"/>
      <c r="D69" s="15"/>
      <c r="E69" s="13"/>
      <c r="F69" s="13"/>
      <c r="G69" s="13"/>
      <c r="H69" s="13"/>
      <c r="I69" s="13"/>
      <c r="J69" s="13"/>
      <c r="K69" s="33"/>
      <c r="L69" s="34"/>
      <c r="M69" s="11"/>
      <c r="N69" s="32"/>
      <c r="P69" s="35"/>
    </row>
    <row r="70" spans="1:16">
      <c r="A70" s="11"/>
      <c r="B70" s="52" t="s">
        <v>73</v>
      </c>
      <c r="C70" s="13">
        <v>1</v>
      </c>
      <c r="D70" s="15">
        <v>4</v>
      </c>
      <c r="E70" s="13">
        <v>15</v>
      </c>
      <c r="F70" s="13"/>
      <c r="G70" s="13">
        <v>1535</v>
      </c>
      <c r="H70" s="13" t="s">
        <v>48</v>
      </c>
      <c r="I70" s="13"/>
      <c r="J70" s="44"/>
      <c r="K70" s="33">
        <f>D70*G70*C70/1000</f>
        <v>6.14</v>
      </c>
      <c r="L70" s="34">
        <f>K70*1.57</f>
        <v>9.6397999999999993</v>
      </c>
      <c r="M70" s="31"/>
      <c r="N70" s="32"/>
      <c r="P70" s="35"/>
    </row>
    <row r="71" spans="1:16">
      <c r="A71" s="11"/>
      <c r="B71" s="16" t="s">
        <v>53</v>
      </c>
      <c r="C71" s="13">
        <v>1</v>
      </c>
      <c r="D71" s="15">
        <v>5</v>
      </c>
      <c r="E71" s="13">
        <v>10</v>
      </c>
      <c r="F71" s="13"/>
      <c r="G71" s="13">
        <v>1350</v>
      </c>
      <c r="H71" s="13" t="s">
        <v>65</v>
      </c>
      <c r="I71" s="13"/>
      <c r="J71" s="44"/>
      <c r="K71" s="33">
        <f>D71*G71*C71/1000</f>
        <v>6.75</v>
      </c>
      <c r="L71" s="34">
        <f>K71*0.785</f>
        <v>5.2987500000000001</v>
      </c>
      <c r="M71" s="31"/>
      <c r="N71" s="32"/>
      <c r="P71" s="35"/>
    </row>
    <row r="72" spans="1:16">
      <c r="A72" s="10"/>
      <c r="N72" s="32"/>
      <c r="P72" s="35"/>
    </row>
    <row r="73" spans="1:16" ht="15.75">
      <c r="A73" s="11"/>
      <c r="B73" s="14" t="s">
        <v>76</v>
      </c>
      <c r="C73" s="13"/>
      <c r="D73" s="15"/>
      <c r="E73" s="13"/>
      <c r="F73" s="13"/>
      <c r="G73" s="13"/>
      <c r="H73" s="13"/>
      <c r="I73" s="13"/>
      <c r="J73" s="13"/>
      <c r="K73" s="33"/>
      <c r="L73" s="34"/>
      <c r="M73" s="11"/>
      <c r="N73" s="32"/>
      <c r="P73" s="35"/>
    </row>
    <row r="74" spans="1:16">
      <c r="A74" s="11"/>
      <c r="B74" s="52" t="s">
        <v>73</v>
      </c>
      <c r="C74" s="13">
        <v>4</v>
      </c>
      <c r="D74" s="15">
        <v>4</v>
      </c>
      <c r="E74" s="13">
        <v>15</v>
      </c>
      <c r="F74" s="13"/>
      <c r="G74" s="13">
        <v>1535</v>
      </c>
      <c r="H74" s="13" t="s">
        <v>48</v>
      </c>
      <c r="I74" s="13"/>
      <c r="J74" s="44"/>
      <c r="K74" s="33">
        <f>D74*G74*C74/1000</f>
        <v>24.56</v>
      </c>
      <c r="L74" s="34">
        <f>K74*1.57</f>
        <v>38.559199999999997</v>
      </c>
      <c r="M74" s="31"/>
      <c r="N74" s="32"/>
      <c r="P74" s="35"/>
    </row>
    <row r="75" spans="1:16">
      <c r="A75" s="11"/>
      <c r="B75" s="16" t="s">
        <v>53</v>
      </c>
      <c r="C75" s="13">
        <v>4</v>
      </c>
      <c r="D75" s="15">
        <v>5</v>
      </c>
      <c r="E75" s="13">
        <v>10</v>
      </c>
      <c r="F75" s="13"/>
      <c r="G75" s="13">
        <v>1350</v>
      </c>
      <c r="H75" s="13" t="s">
        <v>65</v>
      </c>
      <c r="I75" s="13"/>
      <c r="J75" s="44"/>
      <c r="K75" s="33">
        <f>D75*G75*C75/1000</f>
        <v>27</v>
      </c>
      <c r="L75" s="34">
        <f>K75*0.785</f>
        <v>21.195</v>
      </c>
      <c r="M75" s="31"/>
      <c r="N75" s="32"/>
      <c r="P75" s="35"/>
    </row>
    <row r="76" spans="1:16">
      <c r="A76" s="11"/>
      <c r="N76" s="32"/>
      <c r="P76" s="35"/>
    </row>
    <row r="77" spans="1:16" ht="18">
      <c r="A77" s="10"/>
      <c r="B77" s="12" t="s">
        <v>79</v>
      </c>
      <c r="C77" s="13"/>
      <c r="D77" s="13"/>
      <c r="E77" s="13"/>
      <c r="F77" s="13"/>
      <c r="G77" s="13"/>
      <c r="H77" s="13"/>
      <c r="I77" s="13"/>
      <c r="J77" s="13"/>
      <c r="K77" s="33"/>
      <c r="L77" s="34"/>
      <c r="M77" s="10"/>
      <c r="N77" s="32"/>
      <c r="P77" s="35"/>
    </row>
    <row r="78" spans="1:16" ht="15.75">
      <c r="A78" s="11"/>
      <c r="B78" s="14"/>
      <c r="C78" s="13"/>
      <c r="D78" s="15"/>
      <c r="E78" s="13"/>
      <c r="F78" s="13"/>
      <c r="G78" s="13"/>
      <c r="H78" s="13"/>
      <c r="I78" s="13"/>
      <c r="J78" s="13"/>
      <c r="K78" s="33"/>
      <c r="L78" s="34"/>
      <c r="M78" s="11"/>
      <c r="N78" s="32"/>
      <c r="P78" s="35"/>
    </row>
    <row r="79" spans="1:16">
      <c r="A79" s="11"/>
      <c r="B79" s="52" t="s">
        <v>81</v>
      </c>
      <c r="C79" s="13">
        <v>3</v>
      </c>
      <c r="D79" s="15">
        <v>3</v>
      </c>
      <c r="E79" s="13">
        <v>10</v>
      </c>
      <c r="F79" s="13"/>
      <c r="G79" s="13">
        <v>42243</v>
      </c>
      <c r="H79" s="13" t="s">
        <v>48</v>
      </c>
      <c r="I79" s="13"/>
      <c r="J79" s="44"/>
      <c r="K79" s="33">
        <f>D79*G79*C79/1000</f>
        <v>380.18700000000001</v>
      </c>
      <c r="L79" s="34">
        <f>K79*0.785</f>
        <v>298.44679500000001</v>
      </c>
      <c r="M79" s="31"/>
      <c r="N79" s="32"/>
      <c r="P79" s="35"/>
    </row>
    <row r="80" spans="1:16">
      <c r="A80" s="11"/>
      <c r="B80" s="52" t="s">
        <v>80</v>
      </c>
      <c r="C80" s="13">
        <v>3</v>
      </c>
      <c r="D80" s="15">
        <v>3</v>
      </c>
      <c r="E80" s="13">
        <v>10</v>
      </c>
      <c r="F80" s="13"/>
      <c r="G80" s="13">
        <v>25123.5</v>
      </c>
      <c r="H80" s="13" t="s">
        <v>48</v>
      </c>
      <c r="I80" s="13"/>
      <c r="J80" s="44"/>
      <c r="K80" s="33">
        <f>D80*G80*C80/1000</f>
        <v>226.11150000000001</v>
      </c>
      <c r="L80" s="34">
        <f>K80*0.785</f>
        <v>177.49752750000002</v>
      </c>
      <c r="M80" s="31"/>
      <c r="N80" s="32"/>
      <c r="P80" s="35"/>
    </row>
    <row r="81" spans="1:16">
      <c r="A81" s="11"/>
      <c r="B81" s="52"/>
      <c r="C81" s="13"/>
      <c r="D81" s="15"/>
      <c r="E81" s="13"/>
      <c r="F81" s="13"/>
      <c r="G81" s="13"/>
      <c r="H81" s="13"/>
      <c r="I81" s="13"/>
      <c r="J81" s="44"/>
      <c r="K81" s="33"/>
      <c r="L81" s="34"/>
      <c r="M81" s="31"/>
      <c r="N81" s="32"/>
      <c r="P81" s="35"/>
    </row>
    <row r="82" spans="1:16">
      <c r="A82" s="10"/>
      <c r="B82" s="52"/>
      <c r="C82" s="13"/>
      <c r="D82" s="15"/>
      <c r="E82" s="13"/>
      <c r="F82" s="13"/>
      <c r="G82" s="13"/>
      <c r="H82" s="13"/>
      <c r="I82" s="13"/>
      <c r="J82" s="44"/>
      <c r="K82" s="33"/>
      <c r="L82" s="34"/>
      <c r="M82" s="31"/>
      <c r="N82" s="32"/>
      <c r="P82" s="35"/>
    </row>
    <row r="83" spans="1:16" ht="18">
      <c r="A83" s="11"/>
      <c r="B83" s="48"/>
      <c r="C83" s="13"/>
      <c r="D83" s="13"/>
      <c r="E83" s="13"/>
      <c r="F83" s="13"/>
      <c r="G83" s="13"/>
      <c r="H83" s="13"/>
      <c r="I83" s="13"/>
      <c r="J83" s="13"/>
      <c r="K83" s="33"/>
      <c r="L83" s="34"/>
      <c r="M83" s="31"/>
      <c r="N83" s="32"/>
      <c r="P83" s="35"/>
    </row>
    <row r="84" spans="1:16">
      <c r="A84" s="11"/>
      <c r="B84" s="52"/>
      <c r="C84" s="13"/>
      <c r="D84" s="15"/>
      <c r="E84" s="13"/>
      <c r="F84" s="13"/>
      <c r="G84" s="13"/>
      <c r="H84" s="13"/>
      <c r="I84" s="13"/>
      <c r="J84" s="44"/>
      <c r="K84" s="33"/>
      <c r="L84" s="34"/>
      <c r="M84" s="31"/>
      <c r="N84" s="32"/>
      <c r="P84" s="35"/>
    </row>
    <row r="85" spans="1:16">
      <c r="A85" s="11"/>
      <c r="B85" s="16"/>
      <c r="C85" s="13"/>
      <c r="D85" s="15"/>
      <c r="E85" s="13"/>
      <c r="F85" s="13"/>
      <c r="G85" s="13"/>
      <c r="H85" s="13"/>
      <c r="I85" s="13"/>
      <c r="J85" s="44"/>
      <c r="K85" s="54" t="s">
        <v>49</v>
      </c>
      <c r="L85" s="53">
        <f>SUM(L14:L83)</f>
        <v>5382.443952499998</v>
      </c>
      <c r="M85" s="31"/>
      <c r="N85" s="32"/>
      <c r="P85" s="35"/>
    </row>
    <row r="86" spans="1:16">
      <c r="A86" s="11"/>
      <c r="N86" s="32"/>
      <c r="P86" s="35"/>
    </row>
    <row r="87" spans="1:16" ht="15.75">
      <c r="A87" s="10"/>
      <c r="B87" s="14"/>
      <c r="C87" s="13"/>
      <c r="D87" s="15"/>
      <c r="E87" s="13"/>
      <c r="F87" s="13"/>
      <c r="G87" s="13"/>
      <c r="H87" s="13"/>
      <c r="I87" s="13"/>
      <c r="J87" s="13"/>
      <c r="K87" s="33"/>
      <c r="L87" s="34"/>
      <c r="M87" s="11"/>
      <c r="P87" s="35"/>
    </row>
    <row r="88" spans="1:16">
      <c r="A88" s="11"/>
      <c r="B88" s="52"/>
      <c r="C88" s="13"/>
      <c r="D88" s="15"/>
      <c r="E88" s="13"/>
      <c r="F88" s="13"/>
      <c r="G88" s="13"/>
      <c r="H88" s="13"/>
      <c r="I88" s="13"/>
      <c r="J88" s="44"/>
      <c r="K88" s="33"/>
      <c r="L88" s="34"/>
      <c r="M88" s="31"/>
      <c r="P88" s="35"/>
    </row>
    <row r="89" spans="1:16">
      <c r="A89" s="11"/>
      <c r="B89" s="16"/>
      <c r="C89" s="13"/>
      <c r="D89" s="15"/>
      <c r="E89" s="13"/>
      <c r="F89" s="13"/>
      <c r="G89" s="13"/>
      <c r="H89" s="13"/>
      <c r="I89" s="13"/>
      <c r="J89" s="44"/>
      <c r="K89" s="33"/>
      <c r="L89" s="34"/>
      <c r="M89" s="31"/>
      <c r="P89" s="35"/>
    </row>
    <row r="90" spans="1:16" ht="18">
      <c r="A90" s="11"/>
      <c r="B90" s="12" t="s">
        <v>82</v>
      </c>
      <c r="C90" s="13"/>
      <c r="D90" s="13"/>
      <c r="E90" s="13"/>
      <c r="F90" s="13"/>
      <c r="G90" s="13"/>
      <c r="H90" s="13"/>
      <c r="I90" s="13"/>
      <c r="J90" s="13"/>
      <c r="K90" s="33"/>
      <c r="L90" s="34"/>
      <c r="P90" s="35"/>
    </row>
    <row r="91" spans="1:16">
      <c r="A91" s="11"/>
      <c r="B91" s="55" t="s">
        <v>83</v>
      </c>
      <c r="C91" s="13"/>
      <c r="D91" s="15"/>
      <c r="E91" s="13"/>
      <c r="F91" s="13"/>
      <c r="G91" s="13"/>
      <c r="H91" s="13"/>
      <c r="I91" s="13"/>
      <c r="J91" s="13"/>
      <c r="K91" s="54" t="s">
        <v>66</v>
      </c>
      <c r="L91" s="56" t="s">
        <v>84</v>
      </c>
      <c r="M91" s="11"/>
      <c r="P91" s="35"/>
    </row>
    <row r="92" spans="1:16">
      <c r="A92" s="10"/>
      <c r="B92" s="52"/>
      <c r="C92" s="13"/>
      <c r="D92" s="15"/>
      <c r="E92" s="13"/>
      <c r="F92" s="13"/>
      <c r="G92" s="13"/>
      <c r="H92" s="13"/>
      <c r="I92" s="13"/>
      <c r="J92" s="44"/>
      <c r="K92" s="33"/>
      <c r="L92" s="56" t="s">
        <v>85</v>
      </c>
      <c r="M92" s="31"/>
      <c r="P92" s="35"/>
    </row>
    <row r="93" spans="1:16">
      <c r="A93" s="11"/>
      <c r="B93" s="16"/>
      <c r="C93" s="13"/>
      <c r="D93" s="15"/>
      <c r="E93" s="13"/>
      <c r="F93" s="13"/>
      <c r="G93" s="13"/>
      <c r="H93" s="13"/>
      <c r="I93" s="13"/>
      <c r="J93" s="44"/>
      <c r="K93" s="33"/>
      <c r="L93" s="34"/>
      <c r="M93" s="31"/>
      <c r="P93" s="35"/>
    </row>
    <row r="94" spans="1:16">
      <c r="A94" s="11"/>
      <c r="B94" s="16"/>
      <c r="C94" s="13"/>
      <c r="D94" s="15"/>
      <c r="E94" s="13"/>
      <c r="F94" s="13"/>
      <c r="G94" s="13"/>
      <c r="H94" s="13"/>
      <c r="I94" s="13"/>
      <c r="J94" s="44"/>
      <c r="K94" s="33"/>
      <c r="L94" s="34"/>
      <c r="M94" s="31"/>
      <c r="P94" s="35"/>
    </row>
    <row r="95" spans="1:16">
      <c r="A95" s="11"/>
      <c r="P95" s="35"/>
    </row>
    <row r="96" spans="1:16" ht="15.75">
      <c r="A96" s="11"/>
      <c r="B96" s="14"/>
      <c r="C96" s="13"/>
      <c r="D96" s="15"/>
      <c r="E96" s="13"/>
      <c r="F96" s="13"/>
      <c r="G96" s="13"/>
      <c r="H96" s="13"/>
      <c r="I96" s="13"/>
      <c r="J96" s="13"/>
      <c r="K96" s="33"/>
      <c r="L96" s="34"/>
      <c r="M96" s="11"/>
      <c r="P96" s="35"/>
    </row>
    <row r="97" spans="1:16">
      <c r="A97" s="10"/>
      <c r="B97" s="52"/>
      <c r="C97" s="13"/>
      <c r="D97" s="15"/>
      <c r="E97" s="13"/>
      <c r="F97" s="13"/>
      <c r="G97" s="13"/>
      <c r="H97" s="13"/>
      <c r="I97" s="13"/>
      <c r="J97" s="44"/>
      <c r="K97" s="33"/>
      <c r="L97" s="34"/>
      <c r="M97" s="31"/>
      <c r="N97" s="32"/>
      <c r="P97" s="35"/>
    </row>
    <row r="98" spans="1:16">
      <c r="A98" s="11"/>
      <c r="B98" s="16"/>
      <c r="C98" s="13"/>
      <c r="D98" s="15"/>
      <c r="E98" s="13"/>
      <c r="F98" s="13"/>
      <c r="G98" s="13"/>
      <c r="H98" s="13"/>
      <c r="I98" s="13"/>
      <c r="J98" s="44"/>
      <c r="K98" s="33"/>
      <c r="L98" s="34"/>
      <c r="M98" s="31"/>
      <c r="N98" s="32"/>
      <c r="P98" s="35"/>
    </row>
    <row r="99" spans="1:16">
      <c r="A99" s="11"/>
      <c r="N99" s="32"/>
      <c r="P99" s="35"/>
    </row>
    <row r="100" spans="1:16" ht="15.75">
      <c r="A100" s="11"/>
      <c r="B100" s="14"/>
      <c r="C100" s="13"/>
      <c r="D100" s="15"/>
      <c r="E100" s="13"/>
      <c r="F100" s="13"/>
      <c r="G100" s="13"/>
      <c r="H100" s="13"/>
      <c r="I100" s="13"/>
      <c r="J100" s="13"/>
      <c r="K100" s="33"/>
      <c r="L100" s="34"/>
      <c r="M100" s="11"/>
      <c r="N100" s="32"/>
      <c r="P100" s="35"/>
    </row>
    <row r="101" spans="1:16">
      <c r="A101" s="11"/>
      <c r="B101" s="52"/>
      <c r="C101" s="13"/>
      <c r="D101" s="15"/>
      <c r="E101" s="13"/>
      <c r="F101" s="13"/>
      <c r="G101" s="13"/>
      <c r="H101" s="13"/>
      <c r="I101" s="13"/>
      <c r="J101" s="44"/>
      <c r="K101" s="33"/>
      <c r="L101" s="34"/>
      <c r="M101" s="31"/>
      <c r="N101" s="32"/>
      <c r="P101" s="35"/>
    </row>
    <row r="102" spans="1:16">
      <c r="A102" s="10"/>
      <c r="B102" s="16"/>
      <c r="C102" s="13"/>
      <c r="D102" s="15"/>
      <c r="E102" s="13"/>
      <c r="F102" s="13"/>
      <c r="G102" s="13"/>
      <c r="H102" s="13"/>
      <c r="I102" s="13"/>
      <c r="J102" s="44"/>
      <c r="K102" s="33"/>
      <c r="L102" s="34"/>
      <c r="M102" s="31"/>
      <c r="N102" s="32"/>
      <c r="P102" s="35"/>
    </row>
    <row r="103" spans="1:16">
      <c r="A103" s="11"/>
      <c r="N103" s="32"/>
      <c r="P103" s="35"/>
    </row>
    <row r="104" spans="1:16" ht="15.75">
      <c r="A104" s="11"/>
      <c r="B104" s="14"/>
      <c r="C104" s="13"/>
      <c r="D104" s="15"/>
      <c r="E104" s="13"/>
      <c r="F104" s="13"/>
      <c r="G104" s="13"/>
      <c r="H104" s="13"/>
      <c r="I104" s="13"/>
      <c r="J104" s="13"/>
      <c r="K104" s="33"/>
      <c r="L104" s="34"/>
      <c r="M104" s="11"/>
      <c r="N104" s="32"/>
      <c r="P104" s="35"/>
    </row>
    <row r="105" spans="1:16">
      <c r="A105" s="11"/>
      <c r="B105" s="52"/>
      <c r="C105" s="13"/>
      <c r="D105" s="15"/>
      <c r="E105" s="13"/>
      <c r="F105" s="13"/>
      <c r="G105" s="13"/>
      <c r="H105" s="13"/>
      <c r="I105" s="13"/>
      <c r="J105" s="44"/>
      <c r="K105" s="33"/>
      <c r="L105" s="34"/>
      <c r="M105" s="31"/>
      <c r="N105" s="32"/>
      <c r="P105" s="35"/>
    </row>
    <row r="106" spans="1:16">
      <c r="A106" s="11"/>
      <c r="B106" s="16"/>
      <c r="C106" s="13"/>
      <c r="D106" s="15"/>
      <c r="E106" s="13"/>
      <c r="F106" s="13"/>
      <c r="G106" s="13"/>
      <c r="H106" s="13"/>
      <c r="I106" s="13"/>
      <c r="J106" s="44"/>
      <c r="K106" s="33"/>
      <c r="L106" s="34"/>
      <c r="M106" s="31"/>
      <c r="N106" s="32"/>
      <c r="P106" s="35"/>
    </row>
    <row r="107" spans="1:16">
      <c r="A107" s="10"/>
      <c r="B107" s="16"/>
      <c r="C107" s="13"/>
      <c r="D107" s="15"/>
      <c r="E107" s="13"/>
      <c r="F107" s="13"/>
      <c r="G107" s="13"/>
      <c r="H107" s="13"/>
      <c r="I107" s="13"/>
      <c r="J107" s="44"/>
      <c r="K107" s="33"/>
      <c r="L107" s="34"/>
      <c r="M107" s="31"/>
      <c r="N107" s="32"/>
      <c r="P107" s="35"/>
    </row>
    <row r="108" spans="1:16">
      <c r="A108" s="11"/>
      <c r="B108" s="16"/>
      <c r="C108" s="13"/>
      <c r="D108" s="15"/>
      <c r="E108" s="13"/>
      <c r="F108" s="13"/>
      <c r="G108" s="13"/>
      <c r="H108" s="13"/>
      <c r="I108" s="13"/>
      <c r="J108" s="44"/>
      <c r="K108" s="33"/>
      <c r="L108" s="34"/>
      <c r="M108" s="31"/>
      <c r="N108" s="32"/>
      <c r="P108" s="35"/>
    </row>
    <row r="109" spans="1:16">
      <c r="A109" s="11"/>
      <c r="B109" s="16"/>
      <c r="C109" s="13"/>
      <c r="D109" s="15"/>
      <c r="E109" s="13"/>
      <c r="F109" s="13"/>
      <c r="G109" s="13"/>
      <c r="H109" s="13"/>
      <c r="I109" s="13"/>
      <c r="J109" s="44"/>
      <c r="K109" s="33"/>
      <c r="L109" s="34"/>
      <c r="M109" s="31"/>
      <c r="N109" s="32"/>
      <c r="P109" s="35"/>
    </row>
    <row r="110" spans="1:16">
      <c r="A110" s="11"/>
      <c r="B110" s="16"/>
      <c r="C110" s="13"/>
      <c r="D110" s="15"/>
      <c r="E110" s="13"/>
      <c r="F110" s="13"/>
      <c r="G110" s="13"/>
      <c r="H110" s="13"/>
      <c r="I110" s="13"/>
      <c r="J110" s="44"/>
      <c r="K110" s="33"/>
      <c r="L110" s="34"/>
      <c r="M110" s="31"/>
      <c r="N110" s="32"/>
      <c r="P110" s="35"/>
    </row>
    <row r="111" spans="1:16">
      <c r="A111" s="11"/>
      <c r="B111" s="16"/>
      <c r="C111" s="13"/>
      <c r="D111" s="15"/>
      <c r="E111" s="13"/>
      <c r="F111" s="13"/>
      <c r="G111" s="13"/>
      <c r="H111" s="13"/>
      <c r="I111" s="13"/>
      <c r="J111" s="44"/>
      <c r="K111" s="33"/>
      <c r="L111" s="34"/>
      <c r="M111" s="31"/>
      <c r="N111" s="32"/>
      <c r="P111" s="35"/>
    </row>
    <row r="112" spans="1:16">
      <c r="A112" s="10"/>
      <c r="B112" s="16"/>
      <c r="C112" s="13"/>
      <c r="D112" s="15"/>
      <c r="E112" s="13"/>
      <c r="F112" s="13"/>
      <c r="G112" s="13"/>
      <c r="H112" s="13"/>
      <c r="I112" s="13"/>
      <c r="J112" s="44"/>
      <c r="K112" s="33"/>
      <c r="L112" s="34"/>
      <c r="M112" s="31"/>
      <c r="N112" s="32"/>
      <c r="P112" s="35"/>
    </row>
    <row r="113" spans="1:16">
      <c r="A113" s="11"/>
      <c r="N113" s="32"/>
      <c r="P113" s="35"/>
    </row>
    <row r="114" spans="1:16" ht="15.75">
      <c r="A114" s="11"/>
      <c r="B114" s="14"/>
      <c r="N114" s="32"/>
      <c r="P114" s="35"/>
    </row>
    <row r="115" spans="1:16">
      <c r="A115" s="11"/>
      <c r="B115" s="16"/>
      <c r="C115" s="13"/>
      <c r="D115" s="15"/>
      <c r="E115" s="13"/>
      <c r="F115" s="13"/>
      <c r="G115" s="13"/>
      <c r="H115" s="13"/>
      <c r="I115" s="13"/>
      <c r="J115" s="44"/>
      <c r="K115" s="33"/>
      <c r="L115" s="34"/>
      <c r="M115" s="31"/>
      <c r="N115" s="32"/>
      <c r="P115" s="35"/>
    </row>
    <row r="116" spans="1:16">
      <c r="A116" s="11"/>
      <c r="B116" s="16"/>
      <c r="C116" s="13"/>
      <c r="D116" s="15"/>
      <c r="E116" s="13"/>
      <c r="F116" s="13"/>
      <c r="G116" s="13"/>
      <c r="H116" s="13"/>
      <c r="I116" s="13"/>
      <c r="J116" s="44"/>
      <c r="K116" s="33"/>
      <c r="L116" s="34"/>
      <c r="M116" s="31"/>
      <c r="N116" s="32"/>
      <c r="P116" s="35"/>
    </row>
    <row r="117" spans="1:16">
      <c r="A117" s="10"/>
      <c r="B117" s="16"/>
      <c r="C117" s="13"/>
      <c r="D117" s="15"/>
      <c r="E117" s="13"/>
      <c r="F117" s="13"/>
      <c r="G117" s="13"/>
      <c r="H117" s="13"/>
      <c r="I117" s="13"/>
      <c r="J117" s="44"/>
      <c r="K117" s="33"/>
      <c r="L117" s="34"/>
      <c r="M117" s="31"/>
      <c r="N117" s="32"/>
      <c r="P117" s="35"/>
    </row>
    <row r="118" spans="1:16">
      <c r="A118" s="11"/>
      <c r="B118" s="16"/>
      <c r="C118" s="13"/>
      <c r="D118" s="15"/>
      <c r="E118" s="13"/>
      <c r="F118" s="13"/>
      <c r="G118" s="13"/>
      <c r="H118" s="13"/>
      <c r="I118" s="13"/>
      <c r="J118" s="44"/>
      <c r="K118" s="33"/>
      <c r="L118" s="34"/>
      <c r="M118" s="31"/>
      <c r="N118" s="32"/>
      <c r="P118" s="35"/>
    </row>
    <row r="119" spans="1:16">
      <c r="A119" s="11"/>
      <c r="B119" s="16"/>
      <c r="C119" s="13"/>
      <c r="D119" s="15"/>
      <c r="E119" s="13"/>
      <c r="F119" s="13"/>
      <c r="G119" s="13"/>
      <c r="H119" s="13"/>
      <c r="I119" s="13"/>
      <c r="J119" s="44"/>
      <c r="K119" s="33"/>
      <c r="L119" s="34"/>
      <c r="M119" s="31"/>
      <c r="N119" s="32"/>
      <c r="P119" s="35"/>
    </row>
    <row r="120" spans="1:16">
      <c r="A120" s="11"/>
      <c r="B120" s="16"/>
      <c r="C120" s="13"/>
      <c r="D120" s="15"/>
      <c r="E120" s="13"/>
      <c r="F120" s="13"/>
      <c r="G120" s="13"/>
      <c r="H120" s="13"/>
      <c r="I120" s="13"/>
      <c r="J120" s="44"/>
      <c r="K120" s="33"/>
      <c r="L120" s="34"/>
      <c r="M120" s="31"/>
      <c r="N120" s="32"/>
      <c r="P120" s="35"/>
    </row>
    <row r="121" spans="1:16">
      <c r="A121" s="11"/>
      <c r="N121" s="32"/>
      <c r="P121" s="35"/>
    </row>
    <row r="122" spans="1:16" ht="15.75">
      <c r="A122" s="10"/>
      <c r="B122" s="14"/>
      <c r="N122" s="32"/>
      <c r="P122" s="35"/>
    </row>
    <row r="123" spans="1:16" ht="15.75">
      <c r="A123" s="11"/>
      <c r="B123" s="14"/>
      <c r="N123" s="32"/>
      <c r="P123" s="35"/>
    </row>
    <row r="124" spans="1:16">
      <c r="A124" s="11"/>
      <c r="C124" s="13"/>
      <c r="D124" s="15"/>
      <c r="E124" s="13"/>
      <c r="F124" s="13"/>
      <c r="G124" s="13"/>
      <c r="H124" s="13"/>
      <c r="I124" s="13"/>
      <c r="J124" s="44"/>
      <c r="K124" s="33"/>
      <c r="L124" s="34"/>
      <c r="M124" s="31"/>
      <c r="N124" s="32"/>
      <c r="P124" s="35"/>
    </row>
    <row r="125" spans="1:16">
      <c r="A125" s="11"/>
      <c r="B125" s="16"/>
      <c r="C125" s="13"/>
      <c r="D125" s="15"/>
      <c r="E125" s="13"/>
      <c r="F125" s="13"/>
      <c r="G125" s="13"/>
      <c r="H125" s="13"/>
      <c r="I125" s="13"/>
      <c r="J125" s="44"/>
      <c r="K125" s="33"/>
      <c r="L125" s="34"/>
      <c r="M125" s="31"/>
      <c r="N125" s="32"/>
      <c r="P125" s="35"/>
    </row>
    <row r="126" spans="1:16">
      <c r="A126" s="11"/>
      <c r="B126" s="16"/>
      <c r="C126" s="13"/>
      <c r="D126" s="15"/>
      <c r="E126" s="13"/>
      <c r="F126" s="13"/>
      <c r="G126" s="13"/>
      <c r="H126" s="13"/>
      <c r="I126" s="13"/>
      <c r="J126" s="44"/>
      <c r="K126" s="33"/>
      <c r="L126" s="34"/>
      <c r="M126" s="31"/>
      <c r="N126" s="32"/>
      <c r="P126" s="35"/>
    </row>
    <row r="127" spans="1:16">
      <c r="A127" s="10"/>
      <c r="B127" s="16"/>
      <c r="C127" s="13"/>
      <c r="D127" s="15"/>
      <c r="E127" s="13"/>
      <c r="F127" s="13"/>
      <c r="G127" s="13"/>
      <c r="H127" s="13"/>
      <c r="I127" s="13"/>
      <c r="J127" s="44"/>
      <c r="K127" s="33"/>
      <c r="L127" s="34"/>
      <c r="M127" s="31"/>
      <c r="N127" s="32"/>
      <c r="P127" s="35"/>
    </row>
    <row r="128" spans="1:16" ht="15.75">
      <c r="A128" s="11"/>
      <c r="B128" s="14"/>
      <c r="N128" s="32"/>
      <c r="P128" s="35"/>
    </row>
    <row r="129" spans="1:16">
      <c r="A129" s="11"/>
      <c r="B129" s="16"/>
      <c r="C129" s="13"/>
      <c r="D129" s="15"/>
      <c r="E129" s="13"/>
      <c r="F129" s="13"/>
      <c r="G129" s="13"/>
      <c r="H129" s="13"/>
      <c r="I129" s="13"/>
      <c r="J129" s="44"/>
      <c r="K129" s="33"/>
      <c r="L129" s="34"/>
      <c r="M129" s="31"/>
      <c r="N129" s="32"/>
      <c r="P129" s="35"/>
    </row>
    <row r="130" spans="1:16">
      <c r="A130" s="11"/>
      <c r="B130" s="16"/>
      <c r="C130" s="13"/>
      <c r="D130" s="15"/>
      <c r="E130" s="13"/>
      <c r="F130" s="13"/>
      <c r="G130" s="13"/>
      <c r="H130" s="13"/>
      <c r="I130" s="13"/>
      <c r="J130" s="44"/>
      <c r="K130" s="33"/>
      <c r="L130" s="34"/>
      <c r="M130" s="31"/>
      <c r="N130" s="32"/>
      <c r="P130" s="35"/>
    </row>
    <row r="131" spans="1:16">
      <c r="A131" s="11"/>
      <c r="B131" s="16"/>
      <c r="C131" s="13"/>
      <c r="D131" s="15"/>
      <c r="E131" s="13"/>
      <c r="F131" s="13"/>
      <c r="G131" s="13"/>
      <c r="H131" s="13"/>
      <c r="I131" s="13"/>
      <c r="J131" s="44"/>
      <c r="K131" s="33"/>
      <c r="L131" s="34"/>
      <c r="M131" s="31"/>
      <c r="N131" s="32"/>
      <c r="P131" s="35"/>
    </row>
    <row r="132" spans="1:16">
      <c r="A132" s="10"/>
      <c r="B132" s="16"/>
      <c r="C132" s="13"/>
      <c r="D132" s="15"/>
      <c r="E132" s="13"/>
      <c r="F132" s="13"/>
      <c r="G132" s="13"/>
      <c r="H132" s="13"/>
      <c r="I132" s="13"/>
      <c r="J132" s="44"/>
      <c r="K132" s="33"/>
      <c r="L132" s="34"/>
      <c r="M132" s="31"/>
      <c r="N132" s="32"/>
      <c r="P132" s="35"/>
    </row>
    <row r="133" spans="1:16">
      <c r="A133" s="11"/>
      <c r="B133" s="16"/>
      <c r="C133" s="13"/>
      <c r="D133" s="15"/>
      <c r="E133" s="13"/>
      <c r="F133" s="13"/>
      <c r="G133" s="13"/>
      <c r="H133" s="13"/>
      <c r="I133" s="13"/>
      <c r="J133" s="44"/>
      <c r="K133" s="33"/>
      <c r="L133" s="34"/>
      <c r="M133" s="31"/>
      <c r="N133" s="32"/>
      <c r="P133" s="35"/>
    </row>
    <row r="134" spans="1:16" ht="15.75">
      <c r="A134" s="11"/>
      <c r="B134" s="14"/>
      <c r="N134" s="32"/>
      <c r="P134" s="35"/>
    </row>
    <row r="135" spans="1:16" ht="15.75">
      <c r="A135" s="11"/>
      <c r="B135" s="14"/>
      <c r="N135" s="32"/>
      <c r="P135" s="35"/>
    </row>
    <row r="136" spans="1:16">
      <c r="A136" s="11"/>
      <c r="C136" s="13"/>
      <c r="D136" s="15"/>
      <c r="E136" s="13"/>
      <c r="F136" s="13"/>
      <c r="G136" s="13"/>
      <c r="H136" s="13"/>
      <c r="I136" s="13"/>
      <c r="J136" s="44"/>
      <c r="K136" s="33"/>
      <c r="L136" s="34"/>
      <c r="M136" s="31"/>
      <c r="N136" s="32"/>
      <c r="P136" s="35"/>
    </row>
    <row r="137" spans="1:16">
      <c r="A137" s="10"/>
      <c r="B137" s="16"/>
      <c r="C137" s="13"/>
      <c r="D137" s="15"/>
      <c r="E137" s="13"/>
      <c r="F137" s="13"/>
      <c r="G137" s="13"/>
      <c r="H137" s="13"/>
      <c r="I137" s="13"/>
      <c r="J137" s="44"/>
      <c r="K137" s="33"/>
      <c r="L137" s="34"/>
      <c r="M137" s="31"/>
      <c r="N137" s="32"/>
      <c r="P137" s="35"/>
    </row>
    <row r="138" spans="1:16" ht="15.75">
      <c r="A138" s="11"/>
      <c r="B138" s="14"/>
      <c r="N138" s="32"/>
      <c r="P138" s="35"/>
    </row>
    <row r="139" spans="1:16">
      <c r="A139" s="11"/>
      <c r="C139" s="13"/>
      <c r="D139" s="15"/>
      <c r="E139" s="13"/>
      <c r="F139" s="13"/>
      <c r="G139" s="13"/>
      <c r="H139" s="13"/>
      <c r="I139" s="13"/>
      <c r="J139" s="44"/>
      <c r="K139" s="33"/>
      <c r="L139" s="34"/>
      <c r="M139" s="31"/>
      <c r="N139" s="32"/>
      <c r="P139" s="35"/>
    </row>
    <row r="140" spans="1:16">
      <c r="A140" s="11"/>
      <c r="B140" s="16"/>
      <c r="C140" s="13"/>
      <c r="D140" s="15"/>
      <c r="E140" s="13"/>
      <c r="F140" s="13"/>
      <c r="G140" s="13"/>
      <c r="H140" s="13"/>
      <c r="I140" s="13"/>
      <c r="J140" s="44"/>
      <c r="K140" s="33"/>
      <c r="L140" s="34"/>
      <c r="M140" s="31"/>
      <c r="N140" s="32"/>
      <c r="P140" s="35"/>
    </row>
    <row r="141" spans="1:16">
      <c r="A141" s="11"/>
      <c r="B141" s="16"/>
      <c r="C141" s="13"/>
      <c r="D141" s="15"/>
      <c r="E141" s="13"/>
      <c r="F141" s="13"/>
      <c r="G141" s="13"/>
      <c r="H141" s="13"/>
      <c r="I141" s="13"/>
      <c r="J141" s="44"/>
      <c r="K141" s="33"/>
      <c r="L141" s="34"/>
      <c r="M141" s="31"/>
      <c r="N141" s="32"/>
      <c r="P141" s="35"/>
    </row>
    <row r="142" spans="1:16">
      <c r="A142" s="10"/>
      <c r="N142" s="32"/>
      <c r="P142" s="35"/>
    </row>
    <row r="143" spans="1:16" ht="18">
      <c r="A143" s="11"/>
      <c r="B143" s="12"/>
      <c r="C143" s="13"/>
      <c r="D143" s="15"/>
      <c r="E143" s="13"/>
      <c r="F143" s="13"/>
      <c r="G143" s="13"/>
      <c r="H143" s="13"/>
      <c r="I143" s="13"/>
      <c r="J143" s="44"/>
      <c r="K143" s="33"/>
      <c r="L143" s="34"/>
      <c r="M143" s="31"/>
      <c r="N143" s="32"/>
      <c r="P143" s="35"/>
    </row>
    <row r="144" spans="1:16" ht="15.75">
      <c r="A144" s="11"/>
      <c r="B144" s="14"/>
      <c r="N144" s="32"/>
      <c r="P144" s="35"/>
    </row>
    <row r="145" spans="1:16">
      <c r="A145" s="11"/>
      <c r="C145" s="13"/>
      <c r="D145" s="15"/>
      <c r="E145" s="13"/>
      <c r="F145" s="13"/>
      <c r="G145" s="13"/>
      <c r="H145" s="13"/>
      <c r="I145" s="13"/>
      <c r="J145" s="44"/>
      <c r="K145" s="33"/>
      <c r="L145" s="34"/>
      <c r="M145" s="31"/>
      <c r="N145" s="32"/>
      <c r="P145" s="35"/>
    </row>
    <row r="146" spans="1:16">
      <c r="A146" s="11"/>
      <c r="B146" s="16"/>
      <c r="C146" s="13"/>
      <c r="D146" s="15"/>
      <c r="E146" s="13"/>
      <c r="F146" s="13"/>
      <c r="G146" s="13"/>
      <c r="H146" s="13"/>
      <c r="I146" s="13"/>
      <c r="J146" s="44"/>
      <c r="K146" s="33"/>
      <c r="L146" s="34"/>
      <c r="M146" s="31"/>
      <c r="N146" s="32"/>
      <c r="P146" s="35"/>
    </row>
    <row r="147" spans="1:16">
      <c r="A147" s="10"/>
      <c r="B147" s="16"/>
      <c r="C147" s="13"/>
      <c r="D147" s="15"/>
      <c r="E147" s="13"/>
      <c r="F147" s="13"/>
      <c r="G147" s="13"/>
      <c r="H147" s="13"/>
      <c r="I147" s="13"/>
      <c r="J147" s="44"/>
      <c r="K147" s="33"/>
      <c r="L147" s="34"/>
      <c r="M147" s="31"/>
      <c r="N147" s="32"/>
      <c r="P147" s="35"/>
    </row>
    <row r="148" spans="1:16">
      <c r="A148" s="11"/>
      <c r="B148" s="16"/>
      <c r="C148" s="13"/>
      <c r="D148" s="15"/>
      <c r="E148" s="13"/>
      <c r="F148" s="13"/>
      <c r="G148" s="13"/>
      <c r="H148" s="13"/>
      <c r="I148" s="13"/>
      <c r="J148" s="13"/>
      <c r="K148" s="33"/>
      <c r="L148" s="34"/>
      <c r="M148" s="31"/>
      <c r="N148" s="32"/>
      <c r="P148" s="35"/>
    </row>
    <row r="149" spans="1:16" ht="15.75">
      <c r="A149" s="11"/>
      <c r="B149" s="14"/>
      <c r="M149" s="31"/>
      <c r="N149" s="32"/>
      <c r="P149" s="35"/>
    </row>
    <row r="150" spans="1:16" ht="15.75">
      <c r="A150" s="11"/>
      <c r="B150" s="14"/>
      <c r="C150" s="13"/>
      <c r="D150" s="15"/>
      <c r="E150" s="13"/>
      <c r="F150" s="13"/>
      <c r="G150" s="13"/>
      <c r="H150" s="13"/>
      <c r="I150" s="13"/>
      <c r="J150" s="44"/>
      <c r="K150" s="33"/>
      <c r="L150" s="34"/>
      <c r="N150" s="32"/>
      <c r="P150" s="35"/>
    </row>
    <row r="151" spans="1:16">
      <c r="A151" s="11"/>
      <c r="C151" s="13"/>
      <c r="D151" s="15"/>
      <c r="E151" s="13"/>
      <c r="F151" s="13"/>
      <c r="G151" s="13"/>
      <c r="H151" s="13"/>
      <c r="I151" s="13"/>
      <c r="J151" s="44"/>
      <c r="K151" s="33"/>
      <c r="L151" s="34"/>
      <c r="N151" s="32"/>
      <c r="P151" s="35"/>
    </row>
    <row r="152" spans="1:16">
      <c r="A152" s="10"/>
      <c r="B152" s="16"/>
      <c r="C152" s="13"/>
      <c r="D152" s="15"/>
      <c r="E152" s="13"/>
      <c r="F152" s="13"/>
      <c r="G152" s="13"/>
      <c r="H152" s="13"/>
      <c r="I152" s="13"/>
      <c r="J152" s="44"/>
      <c r="K152" s="33"/>
      <c r="L152" s="34"/>
      <c r="N152" s="32"/>
      <c r="P152" s="35"/>
    </row>
    <row r="153" spans="1:16">
      <c r="A153" s="11"/>
      <c r="B153" s="16"/>
      <c r="C153" s="13"/>
      <c r="D153" s="15"/>
      <c r="E153" s="13"/>
      <c r="F153" s="13"/>
      <c r="G153" s="13"/>
      <c r="H153" s="13"/>
      <c r="I153" s="13"/>
      <c r="J153" s="44"/>
      <c r="K153" s="33"/>
      <c r="L153" s="34"/>
      <c r="N153" s="32"/>
      <c r="P153" s="35"/>
    </row>
    <row r="154" spans="1:16">
      <c r="A154" s="11"/>
      <c r="B154" s="16"/>
      <c r="C154" s="13"/>
      <c r="D154" s="15"/>
      <c r="E154" s="13"/>
      <c r="F154" s="13"/>
      <c r="G154" s="13"/>
      <c r="H154" s="13"/>
      <c r="I154" s="13"/>
      <c r="J154" s="44"/>
      <c r="K154" s="33"/>
      <c r="L154" s="34"/>
      <c r="N154" s="32"/>
      <c r="P154" s="35"/>
    </row>
    <row r="155" spans="1:16">
      <c r="A155" s="11"/>
      <c r="B155" s="16"/>
      <c r="C155" s="13"/>
      <c r="D155" s="15"/>
      <c r="E155" s="13"/>
      <c r="F155" s="13"/>
      <c r="G155" s="13"/>
      <c r="H155" s="13"/>
      <c r="I155" s="13"/>
      <c r="J155" s="44"/>
      <c r="K155" s="33"/>
      <c r="L155" s="34"/>
      <c r="M155" s="31"/>
      <c r="N155" s="32"/>
      <c r="P155" s="35"/>
    </row>
    <row r="156" spans="1:16">
      <c r="A156" s="11"/>
      <c r="N156" s="32"/>
      <c r="P156" s="35"/>
    </row>
    <row r="157" spans="1:16" ht="15.75">
      <c r="A157" s="10"/>
      <c r="B157" s="14"/>
      <c r="C157" s="13"/>
      <c r="D157" s="15"/>
      <c r="E157" s="13"/>
      <c r="F157" s="13"/>
      <c r="G157" s="13"/>
      <c r="H157" s="13"/>
      <c r="I157" s="13"/>
      <c r="J157" s="44"/>
      <c r="K157" s="33"/>
      <c r="L157" s="34"/>
      <c r="N157" s="32"/>
      <c r="P157" s="35"/>
    </row>
    <row r="158" spans="1:16">
      <c r="A158" s="11"/>
      <c r="C158" s="13"/>
      <c r="D158" s="15"/>
      <c r="E158" s="13"/>
      <c r="F158" s="13"/>
      <c r="G158" s="13"/>
      <c r="H158" s="13"/>
      <c r="I158" s="13"/>
      <c r="J158" s="44"/>
      <c r="K158" s="33"/>
      <c r="L158" s="34"/>
      <c r="N158" s="32"/>
      <c r="P158" s="35"/>
    </row>
    <row r="159" spans="1:16">
      <c r="A159" s="11"/>
      <c r="B159" s="16"/>
      <c r="C159" s="13"/>
      <c r="D159" s="15"/>
      <c r="E159" s="13"/>
      <c r="F159" s="13"/>
      <c r="G159" s="13"/>
      <c r="H159" s="13"/>
      <c r="I159" s="13"/>
      <c r="J159" s="44"/>
      <c r="K159" s="33"/>
      <c r="L159" s="34"/>
      <c r="N159" s="32"/>
      <c r="P159" s="35"/>
    </row>
    <row r="160" spans="1:16">
      <c r="A160" s="11"/>
      <c r="B160" s="16"/>
      <c r="C160" s="13"/>
      <c r="D160" s="15"/>
      <c r="E160" s="13"/>
      <c r="F160" s="13"/>
      <c r="G160" s="13"/>
      <c r="H160" s="13"/>
      <c r="I160" s="13"/>
      <c r="J160" s="44"/>
      <c r="K160" s="33"/>
      <c r="L160" s="34"/>
      <c r="M160" s="31"/>
      <c r="N160" s="32"/>
      <c r="P160" s="35"/>
    </row>
    <row r="161" spans="1:16">
      <c r="A161" s="11"/>
      <c r="N161" s="32"/>
      <c r="P161" s="35"/>
    </row>
    <row r="162" spans="1:16" ht="15.75">
      <c r="A162" s="10"/>
      <c r="B162" s="14"/>
      <c r="C162" s="13"/>
      <c r="D162" s="15"/>
      <c r="E162" s="13"/>
      <c r="F162" s="13"/>
      <c r="G162" s="13"/>
      <c r="H162" s="13"/>
      <c r="I162" s="13"/>
      <c r="J162" s="44"/>
      <c r="K162" s="33"/>
      <c r="L162" s="34"/>
      <c r="N162" s="32"/>
      <c r="P162" s="35"/>
    </row>
    <row r="163" spans="1:16">
      <c r="A163" s="11"/>
      <c r="B163" s="16"/>
      <c r="C163" s="13"/>
      <c r="D163" s="15"/>
      <c r="E163" s="13"/>
      <c r="F163" s="13"/>
      <c r="G163" s="13"/>
      <c r="H163" s="13"/>
      <c r="I163" s="13"/>
      <c r="J163" s="44"/>
      <c r="K163" s="33"/>
      <c r="L163" s="34"/>
      <c r="N163" s="32"/>
      <c r="P163" s="35"/>
    </row>
    <row r="164" spans="1:16">
      <c r="A164" s="11"/>
      <c r="B164" s="16"/>
      <c r="C164" s="13"/>
      <c r="D164" s="15"/>
      <c r="E164" s="13"/>
      <c r="F164" s="13"/>
      <c r="G164" s="13"/>
      <c r="H164" s="13"/>
      <c r="I164" s="13"/>
      <c r="J164" s="44"/>
      <c r="K164" s="33"/>
      <c r="L164" s="34"/>
      <c r="N164" s="32"/>
      <c r="P164" s="35"/>
    </row>
    <row r="165" spans="1:16">
      <c r="A165" s="11"/>
      <c r="B165" s="16"/>
      <c r="C165" s="13"/>
      <c r="D165" s="15"/>
      <c r="E165" s="13"/>
      <c r="F165" s="13"/>
      <c r="G165" s="13"/>
      <c r="H165" s="13"/>
      <c r="I165" s="13"/>
      <c r="J165" s="44"/>
      <c r="K165" s="33"/>
      <c r="L165" s="34"/>
      <c r="M165" s="31"/>
      <c r="N165" s="32"/>
      <c r="P165" s="35"/>
    </row>
    <row r="166" spans="1:16">
      <c r="A166" s="11"/>
      <c r="B166" s="49"/>
      <c r="C166" s="13"/>
      <c r="D166" s="15"/>
      <c r="E166" s="13"/>
      <c r="F166" s="13"/>
      <c r="G166" s="13"/>
      <c r="H166" s="13"/>
      <c r="I166" s="13"/>
      <c r="J166" s="44"/>
      <c r="K166" s="33"/>
      <c r="L166" s="34"/>
      <c r="M166" s="31"/>
      <c r="N166" s="32"/>
      <c r="P166" s="35"/>
    </row>
    <row r="167" spans="1:16">
      <c r="A167" s="10"/>
      <c r="B167" s="16"/>
      <c r="C167" s="13"/>
      <c r="D167" s="15"/>
      <c r="E167" s="13"/>
      <c r="F167" s="13"/>
      <c r="G167" s="13"/>
      <c r="H167" s="13"/>
      <c r="I167" s="13"/>
      <c r="J167" s="44"/>
      <c r="K167" s="33"/>
      <c r="L167" s="34"/>
      <c r="N167" s="32"/>
      <c r="P167" s="35"/>
    </row>
    <row r="168" spans="1:16">
      <c r="A168" s="11"/>
      <c r="B168" s="50"/>
      <c r="C168" s="13"/>
      <c r="D168" s="15"/>
      <c r="E168" s="13"/>
      <c r="F168" s="13"/>
      <c r="G168" s="13"/>
      <c r="H168" s="13"/>
      <c r="I168" s="13"/>
      <c r="J168" s="44"/>
      <c r="K168" s="33"/>
      <c r="L168" s="34"/>
      <c r="N168" s="32"/>
      <c r="P168" s="35"/>
    </row>
    <row r="169" spans="1:16">
      <c r="A169" s="11"/>
      <c r="C169" s="13"/>
      <c r="D169" s="15"/>
      <c r="E169" s="13"/>
      <c r="F169" s="13"/>
      <c r="G169" s="13"/>
      <c r="H169" s="13"/>
      <c r="I169" s="13"/>
      <c r="J169" s="44"/>
      <c r="K169" s="33"/>
      <c r="L169" s="34"/>
      <c r="N169" s="32"/>
      <c r="P169" s="35"/>
    </row>
    <row r="170" spans="1:16" ht="15.75">
      <c r="A170" s="11"/>
      <c r="B170" s="51"/>
      <c r="N170" s="32"/>
      <c r="P170" s="35"/>
    </row>
    <row r="171" spans="1:16">
      <c r="A171" s="11"/>
      <c r="C171" s="13"/>
      <c r="D171" s="15"/>
      <c r="E171" s="13"/>
      <c r="F171" s="13"/>
      <c r="G171" s="13"/>
      <c r="H171" s="13"/>
      <c r="I171" s="13"/>
      <c r="J171" s="44"/>
      <c r="K171" s="33"/>
      <c r="L171" s="34"/>
      <c r="N171" s="32"/>
      <c r="P171" s="35"/>
    </row>
    <row r="172" spans="1:16">
      <c r="A172" s="10"/>
      <c r="C172" s="13"/>
      <c r="D172" s="15"/>
      <c r="E172" s="13"/>
      <c r="F172" s="13"/>
      <c r="G172" s="13"/>
      <c r="H172" s="13"/>
      <c r="I172" s="13"/>
      <c r="J172" s="44"/>
      <c r="K172" s="33"/>
      <c r="L172" s="34"/>
      <c r="N172" s="32"/>
      <c r="P172" s="35"/>
    </row>
    <row r="173" spans="1:16">
      <c r="A173" s="11"/>
      <c r="N173" s="32"/>
      <c r="P173" s="35"/>
    </row>
    <row r="174" spans="1:16">
      <c r="A174" s="11"/>
      <c r="B174" s="16"/>
      <c r="C174" s="13"/>
      <c r="D174" s="15"/>
      <c r="E174" s="13"/>
      <c r="F174" s="13"/>
      <c r="G174" s="13"/>
      <c r="H174" s="13"/>
      <c r="I174" s="13"/>
      <c r="J174" s="13"/>
      <c r="K174" s="33"/>
      <c r="L174" s="34"/>
      <c r="M174" s="31"/>
      <c r="N174" s="32"/>
      <c r="P174" s="35"/>
    </row>
    <row r="175" spans="1:16" ht="15.75">
      <c r="A175" s="11"/>
      <c r="B175" s="14"/>
      <c r="C175" s="13"/>
      <c r="D175" s="15"/>
      <c r="E175" s="13"/>
      <c r="F175" s="13"/>
      <c r="G175" s="13"/>
      <c r="H175" s="13"/>
      <c r="I175" s="13"/>
      <c r="J175" s="13"/>
      <c r="K175" s="33"/>
      <c r="L175" s="34"/>
      <c r="M175" s="31"/>
      <c r="N175" s="32"/>
      <c r="P175" s="35"/>
    </row>
    <row r="176" spans="1:16" ht="28.5" customHeight="1">
      <c r="A176" s="11"/>
      <c r="B176" s="39"/>
      <c r="C176" s="40"/>
      <c r="D176" s="41"/>
      <c r="E176" s="40"/>
      <c r="F176" s="40"/>
      <c r="G176" s="40"/>
      <c r="H176" s="40"/>
      <c r="I176" s="40"/>
      <c r="J176" s="58"/>
      <c r="K176" s="42"/>
      <c r="L176" s="43"/>
      <c r="M176" s="31"/>
      <c r="N176" s="32"/>
      <c r="P176" s="35"/>
    </row>
    <row r="177" spans="1:16" ht="28.5" customHeight="1">
      <c r="A177" s="10"/>
      <c r="B177" s="39"/>
      <c r="C177" s="40"/>
      <c r="D177" s="41"/>
      <c r="E177" s="40"/>
      <c r="F177" s="40"/>
      <c r="G177" s="40"/>
      <c r="H177" s="40"/>
      <c r="I177" s="40"/>
      <c r="J177" s="59"/>
      <c r="K177" s="42"/>
      <c r="L177" s="43"/>
      <c r="M177" s="31"/>
      <c r="N177" s="32"/>
      <c r="P177" s="35"/>
    </row>
    <row r="178" spans="1:16" ht="28.5" customHeight="1">
      <c r="A178" s="11"/>
      <c r="B178" s="16"/>
      <c r="C178" s="13"/>
      <c r="D178" s="15"/>
      <c r="E178" s="13"/>
      <c r="F178" s="13"/>
      <c r="G178" s="40"/>
      <c r="H178" s="13"/>
      <c r="I178" s="40"/>
      <c r="J178" s="58"/>
      <c r="K178" s="42"/>
      <c r="L178" s="43"/>
      <c r="M178" s="31"/>
      <c r="N178" s="32"/>
      <c r="P178" s="35"/>
    </row>
    <row r="179" spans="1:16" ht="27.75" customHeight="1">
      <c r="A179" s="11"/>
      <c r="B179" s="16"/>
      <c r="C179" s="13"/>
      <c r="D179" s="15"/>
      <c r="E179" s="13"/>
      <c r="F179" s="13"/>
      <c r="G179" s="40"/>
      <c r="H179" s="13"/>
      <c r="I179" s="40"/>
      <c r="J179" s="59"/>
      <c r="K179" s="42"/>
      <c r="L179" s="43"/>
      <c r="M179" s="31"/>
      <c r="N179" s="32"/>
      <c r="P179" s="35"/>
    </row>
    <row r="180" spans="1:16" ht="43.5" customHeight="1">
      <c r="A180" s="11"/>
      <c r="B180" s="39"/>
      <c r="C180" s="40"/>
      <c r="D180" s="41"/>
      <c r="E180" s="40"/>
      <c r="F180" s="40"/>
      <c r="G180" s="40"/>
      <c r="H180" s="40"/>
      <c r="I180" s="40"/>
      <c r="J180" s="44"/>
      <c r="K180" s="42"/>
      <c r="L180" s="43"/>
      <c r="M180" s="31"/>
      <c r="N180" s="32"/>
      <c r="P180" s="35"/>
    </row>
    <row r="181" spans="1:16" ht="24" customHeight="1">
      <c r="A181" s="11"/>
      <c r="B181" s="39"/>
      <c r="C181" s="40"/>
      <c r="D181" s="41"/>
      <c r="E181" s="40"/>
      <c r="F181" s="40"/>
      <c r="G181" s="40"/>
      <c r="H181" s="40"/>
      <c r="I181" s="40"/>
      <c r="J181" s="44"/>
      <c r="K181" s="42"/>
      <c r="L181" s="43"/>
      <c r="M181" s="31"/>
      <c r="N181" s="32"/>
      <c r="P181" s="35"/>
    </row>
    <row r="182" spans="1:16">
      <c r="A182" s="10"/>
      <c r="B182" s="39"/>
      <c r="C182" s="40"/>
      <c r="D182" s="41"/>
      <c r="E182" s="40"/>
      <c r="F182" s="40"/>
      <c r="G182" s="40"/>
      <c r="H182" s="40"/>
      <c r="I182" s="40"/>
      <c r="J182" s="44"/>
      <c r="K182" s="42"/>
      <c r="L182" s="43"/>
      <c r="M182" s="31"/>
      <c r="N182" s="32"/>
      <c r="P182" s="35"/>
    </row>
    <row r="183" spans="1:16">
      <c r="A183" s="11"/>
      <c r="B183" s="39"/>
      <c r="C183" s="40"/>
      <c r="D183" s="41"/>
      <c r="E183" s="40"/>
      <c r="F183" s="40"/>
      <c r="G183" s="40"/>
      <c r="H183" s="40"/>
      <c r="I183" s="40"/>
      <c r="J183" s="44"/>
      <c r="K183" s="42"/>
      <c r="L183" s="43"/>
      <c r="M183" s="31"/>
      <c r="N183" s="32"/>
      <c r="P183" s="35"/>
    </row>
    <row r="184" spans="1:16">
      <c r="A184" s="11"/>
      <c r="B184" s="16"/>
      <c r="C184" s="13"/>
      <c r="D184" s="15"/>
      <c r="E184" s="13"/>
      <c r="F184" s="13"/>
      <c r="G184" s="13"/>
      <c r="H184" s="13"/>
      <c r="I184" s="13"/>
      <c r="J184" s="13"/>
      <c r="K184" s="33"/>
      <c r="L184" s="34"/>
      <c r="M184" s="31"/>
      <c r="N184" s="32"/>
      <c r="P184" s="35"/>
    </row>
    <row r="185" spans="1:16">
      <c r="A185" s="11"/>
      <c r="B185" s="16"/>
      <c r="C185" s="13"/>
      <c r="D185" s="15"/>
      <c r="E185" s="13"/>
      <c r="F185" s="13"/>
      <c r="G185" s="13"/>
      <c r="H185" s="13"/>
      <c r="I185" s="13"/>
      <c r="J185" s="13"/>
      <c r="K185" s="33"/>
      <c r="L185" s="34"/>
      <c r="M185" s="31"/>
      <c r="N185" s="32"/>
      <c r="P185" s="35"/>
    </row>
    <row r="186" spans="1:16">
      <c r="A186" s="11"/>
      <c r="B186" s="16"/>
      <c r="C186" s="13"/>
      <c r="D186" s="15"/>
      <c r="E186" s="13"/>
      <c r="F186" s="13"/>
      <c r="G186" s="13"/>
      <c r="H186" s="13"/>
      <c r="I186" s="13"/>
      <c r="J186" s="13"/>
      <c r="K186" s="33"/>
      <c r="L186" s="34"/>
      <c r="M186" s="31"/>
      <c r="N186" s="32"/>
      <c r="P186" s="35"/>
    </row>
    <row r="187" spans="1:16">
      <c r="A187" s="10"/>
      <c r="B187" s="16"/>
      <c r="C187" s="13"/>
      <c r="D187" s="15"/>
      <c r="E187" s="13"/>
      <c r="F187" s="13"/>
      <c r="G187" s="13"/>
      <c r="H187" s="13"/>
      <c r="I187" s="13"/>
      <c r="J187" s="13"/>
      <c r="K187" s="33"/>
      <c r="L187" s="34"/>
      <c r="M187" s="31"/>
      <c r="N187" s="32"/>
      <c r="P187" s="35"/>
    </row>
    <row r="188" spans="1:16">
      <c r="A188" s="11"/>
      <c r="M188" s="31"/>
      <c r="N188" s="32"/>
    </row>
    <row r="189" spans="1:16">
      <c r="A189" s="11">
        <v>178</v>
      </c>
      <c r="M189" s="45"/>
      <c r="N189" s="46"/>
    </row>
    <row r="190" spans="1:16">
      <c r="A190" s="11">
        <v>179</v>
      </c>
      <c r="M190" s="13"/>
    </row>
    <row r="191" spans="1:16">
      <c r="A191" s="11">
        <v>180</v>
      </c>
      <c r="M191" s="13"/>
    </row>
    <row r="192" spans="1:16">
      <c r="A192" s="10">
        <v>181</v>
      </c>
      <c r="M192" s="13"/>
    </row>
    <row r="193" spans="1:13">
      <c r="A193" s="11">
        <v>182</v>
      </c>
      <c r="M193" s="13"/>
    </row>
    <row r="194" spans="1:13">
      <c r="A194" s="11">
        <v>183</v>
      </c>
      <c r="M194" s="13"/>
    </row>
    <row r="195" spans="1:13">
      <c r="A195" s="11">
        <v>184</v>
      </c>
      <c r="M195" s="13"/>
    </row>
    <row r="196" spans="1:13">
      <c r="A196" s="11">
        <v>185</v>
      </c>
      <c r="M196" s="13"/>
    </row>
    <row r="197" spans="1:13">
      <c r="A197" s="10">
        <v>186</v>
      </c>
      <c r="M197" s="13"/>
    </row>
    <row r="198" spans="1:13">
      <c r="A198" s="11">
        <v>187</v>
      </c>
      <c r="M198" s="13"/>
    </row>
    <row r="199" spans="1:13">
      <c r="A199" s="11">
        <v>188</v>
      </c>
      <c r="M199" s="13"/>
    </row>
    <row r="200" spans="1:13">
      <c r="A200" s="11">
        <v>189</v>
      </c>
      <c r="M200" s="13"/>
    </row>
    <row r="201" spans="1:13">
      <c r="A201" s="11">
        <v>190</v>
      </c>
      <c r="M201" s="13"/>
    </row>
    <row r="202" spans="1:13">
      <c r="A202" s="10">
        <v>191</v>
      </c>
      <c r="M202" s="13"/>
    </row>
    <row r="203" spans="1:13">
      <c r="A203" s="11">
        <v>192</v>
      </c>
      <c r="M203" s="13"/>
    </row>
    <row r="204" spans="1:13">
      <c r="A204" s="11">
        <v>193</v>
      </c>
      <c r="M204" s="13"/>
    </row>
    <row r="205" spans="1:13">
      <c r="A205" s="11">
        <v>194</v>
      </c>
      <c r="M205" s="13"/>
    </row>
    <row r="206" spans="1:13">
      <c r="A206" s="11">
        <v>195</v>
      </c>
      <c r="M206" s="13"/>
    </row>
    <row r="207" spans="1:13">
      <c r="A207" s="10">
        <v>196</v>
      </c>
      <c r="M207" s="13"/>
    </row>
    <row r="208" spans="1:13">
      <c r="A208" s="11">
        <v>197</v>
      </c>
      <c r="M208" s="13"/>
    </row>
    <row r="209" spans="1:13">
      <c r="A209" s="11">
        <v>198</v>
      </c>
      <c r="M209" s="13"/>
    </row>
    <row r="210" spans="1:13">
      <c r="A210" s="11">
        <v>199</v>
      </c>
      <c r="M210" s="13"/>
    </row>
    <row r="211" spans="1:13">
      <c r="A211" s="11">
        <v>200</v>
      </c>
      <c r="M211" s="13"/>
    </row>
    <row r="212" spans="1:13">
      <c r="A212" s="10">
        <v>201</v>
      </c>
      <c r="M212" s="13"/>
    </row>
    <row r="213" spans="1:13">
      <c r="A213" s="11">
        <v>202</v>
      </c>
      <c r="M213" s="13"/>
    </row>
    <row r="214" spans="1:13">
      <c r="A214" s="11">
        <v>203</v>
      </c>
      <c r="M214" s="13"/>
    </row>
    <row r="215" spans="1:13">
      <c r="A215" s="11">
        <v>204</v>
      </c>
      <c r="M215" s="13"/>
    </row>
    <row r="216" spans="1:13">
      <c r="A216" s="11">
        <v>205</v>
      </c>
      <c r="M216" s="13"/>
    </row>
    <row r="217" spans="1:13">
      <c r="A217" s="10">
        <v>206</v>
      </c>
      <c r="M217" s="13"/>
    </row>
    <row r="218" spans="1:13">
      <c r="A218" s="11">
        <v>207</v>
      </c>
      <c r="M218" s="13"/>
    </row>
    <row r="219" spans="1:13">
      <c r="A219" s="11">
        <v>208</v>
      </c>
      <c r="M219" s="13"/>
    </row>
    <row r="220" spans="1:13">
      <c r="A220" s="11">
        <v>209</v>
      </c>
      <c r="M220" s="13"/>
    </row>
    <row r="221" spans="1:13">
      <c r="A221" s="11">
        <v>210</v>
      </c>
      <c r="M221" s="13"/>
    </row>
    <row r="222" spans="1:13">
      <c r="A222" s="10">
        <v>211</v>
      </c>
      <c r="M222" s="13"/>
    </row>
    <row r="223" spans="1:13">
      <c r="A223" s="11">
        <v>212</v>
      </c>
      <c r="M223" s="13"/>
    </row>
    <row r="224" spans="1:13">
      <c r="A224" s="11">
        <v>213</v>
      </c>
      <c r="M224" s="13"/>
    </row>
    <row r="225" spans="1:13">
      <c r="A225" s="11">
        <v>214</v>
      </c>
      <c r="M225" s="13"/>
    </row>
    <row r="226" spans="1:13">
      <c r="A226" s="11">
        <v>215</v>
      </c>
      <c r="M226" s="13"/>
    </row>
    <row r="227" spans="1:13">
      <c r="A227" s="10">
        <v>216</v>
      </c>
      <c r="M227" s="13"/>
    </row>
    <row r="228" spans="1:13">
      <c r="A228" s="11">
        <v>217</v>
      </c>
      <c r="M228" s="13"/>
    </row>
    <row r="229" spans="1:13">
      <c r="A229" s="11">
        <v>218</v>
      </c>
      <c r="M229" s="13"/>
    </row>
    <row r="230" spans="1:13">
      <c r="A230" s="11">
        <v>219</v>
      </c>
      <c r="M230" s="13"/>
    </row>
    <row r="231" spans="1:13">
      <c r="A231" s="11">
        <v>220</v>
      </c>
      <c r="M231" s="13"/>
    </row>
    <row r="232" spans="1:13">
      <c r="A232" s="10">
        <v>221</v>
      </c>
      <c r="M232" s="13"/>
    </row>
    <row r="233" spans="1:13">
      <c r="A233" s="11">
        <v>222</v>
      </c>
      <c r="M233" s="13"/>
    </row>
    <row r="234" spans="1:13">
      <c r="A234" s="11">
        <v>223</v>
      </c>
      <c r="M234" s="13"/>
    </row>
    <row r="235" spans="1:13">
      <c r="A235" s="11">
        <v>224</v>
      </c>
      <c r="M235" s="13"/>
    </row>
    <row r="236" spans="1:13">
      <c r="A236" s="11">
        <v>225</v>
      </c>
      <c r="M236" s="13"/>
    </row>
    <row r="237" spans="1:13">
      <c r="A237" s="10">
        <v>226</v>
      </c>
      <c r="M237" s="13"/>
    </row>
    <row r="238" spans="1:13">
      <c r="A238" s="11">
        <v>227</v>
      </c>
      <c r="M238" s="13"/>
    </row>
    <row r="239" spans="1:13">
      <c r="A239" s="11">
        <v>228</v>
      </c>
      <c r="M239" s="13"/>
    </row>
    <row r="240" spans="1:13">
      <c r="A240" s="11">
        <v>229</v>
      </c>
      <c r="B240" s="16"/>
      <c r="C240" s="13"/>
      <c r="D240" s="13"/>
      <c r="E240" s="13"/>
      <c r="F240" s="13"/>
      <c r="G240" s="13"/>
      <c r="H240" s="13"/>
      <c r="I240" s="13"/>
      <c r="J240" s="13"/>
      <c r="K240" s="33"/>
      <c r="L240" s="34"/>
      <c r="M240" s="13"/>
    </row>
    <row r="241" spans="1:13" ht="18">
      <c r="A241" s="11">
        <v>230</v>
      </c>
      <c r="B241" s="12"/>
      <c r="C241" s="13"/>
      <c r="D241" s="13"/>
      <c r="E241" s="13"/>
      <c r="F241" s="13"/>
      <c r="G241" s="13"/>
      <c r="H241" s="13"/>
      <c r="I241" s="13"/>
      <c r="J241" s="13"/>
      <c r="K241" s="33"/>
      <c r="L241" s="34"/>
      <c r="M241" s="13"/>
    </row>
    <row r="242" spans="1:13" ht="15.75">
      <c r="A242" s="10">
        <v>231</v>
      </c>
      <c r="B242" s="14"/>
      <c r="C242" s="13"/>
      <c r="D242" s="13"/>
      <c r="E242" s="13"/>
      <c r="F242" s="13"/>
      <c r="G242" s="13"/>
      <c r="H242" s="13"/>
      <c r="I242" s="13"/>
      <c r="J242" s="13"/>
      <c r="K242" s="33"/>
      <c r="L242" s="34"/>
      <c r="M242" s="13"/>
    </row>
    <row r="243" spans="1:13">
      <c r="A243" s="11">
        <v>232</v>
      </c>
      <c r="B243" s="16"/>
      <c r="C243" s="13"/>
      <c r="D243" s="13"/>
      <c r="E243" s="13"/>
      <c r="F243" s="13"/>
      <c r="G243" s="13"/>
      <c r="H243" s="13"/>
      <c r="I243" s="40"/>
      <c r="J243" s="44"/>
      <c r="K243" s="42"/>
      <c r="L243" s="43"/>
      <c r="M243" s="13"/>
    </row>
    <row r="244" spans="1:13">
      <c r="A244" s="11">
        <v>233</v>
      </c>
      <c r="B244" s="16"/>
      <c r="C244" s="13"/>
      <c r="D244" s="13"/>
      <c r="E244" s="13"/>
      <c r="F244" s="13"/>
      <c r="G244" s="13"/>
      <c r="H244" s="13"/>
      <c r="I244" s="40"/>
      <c r="J244" s="44"/>
      <c r="K244" s="42"/>
      <c r="L244" s="43"/>
      <c r="M244" s="13"/>
    </row>
    <row r="245" spans="1:13">
      <c r="A245" s="11">
        <v>234</v>
      </c>
      <c r="B245" s="16"/>
      <c r="C245" s="13"/>
      <c r="D245" s="13"/>
      <c r="E245" s="13"/>
      <c r="F245" s="13"/>
      <c r="G245" s="13"/>
      <c r="H245" s="13"/>
      <c r="I245" s="40"/>
      <c r="J245" s="44"/>
      <c r="K245" s="42"/>
      <c r="L245" s="43"/>
      <c r="M245" s="13"/>
    </row>
    <row r="246" spans="1:13">
      <c r="A246" s="11">
        <v>235</v>
      </c>
      <c r="B246" s="16"/>
      <c r="C246" s="13"/>
      <c r="D246" s="13"/>
      <c r="E246" s="13"/>
      <c r="F246" s="13"/>
      <c r="G246" s="13"/>
      <c r="H246" s="13"/>
      <c r="I246" s="13"/>
      <c r="J246" s="13"/>
      <c r="K246" s="33"/>
      <c r="L246" s="34"/>
      <c r="M246" s="13"/>
    </row>
    <row r="247" spans="1:13" ht="15.75">
      <c r="A247" s="10">
        <v>236</v>
      </c>
      <c r="B247" s="14"/>
      <c r="C247" s="13"/>
      <c r="D247" s="13"/>
      <c r="E247" s="13"/>
      <c r="F247" s="13"/>
      <c r="G247" s="13"/>
      <c r="H247" s="13"/>
      <c r="I247" s="13"/>
      <c r="J247" s="13"/>
      <c r="K247" s="33"/>
      <c r="L247" s="34"/>
      <c r="M247" s="13"/>
    </row>
    <row r="248" spans="1:13">
      <c r="A248" s="11">
        <v>237</v>
      </c>
      <c r="B248" s="16"/>
      <c r="C248" s="13"/>
      <c r="D248" s="13"/>
      <c r="E248" s="13"/>
      <c r="F248" s="13"/>
      <c r="G248" s="13"/>
      <c r="H248" s="13"/>
      <c r="I248" s="40"/>
      <c r="J248" s="44"/>
      <c r="K248" s="42"/>
      <c r="L248" s="43"/>
      <c r="M248" s="13"/>
    </row>
    <row r="249" spans="1:13">
      <c r="A249" s="11">
        <v>238</v>
      </c>
      <c r="B249" s="16"/>
      <c r="C249" s="13"/>
      <c r="D249" s="13"/>
      <c r="E249" s="13"/>
      <c r="F249" s="13"/>
      <c r="G249" s="13"/>
      <c r="H249" s="13"/>
      <c r="I249" s="40"/>
      <c r="J249" s="44"/>
      <c r="K249" s="42"/>
      <c r="L249" s="43"/>
      <c r="M249" s="13"/>
    </row>
    <row r="250" spans="1:13">
      <c r="A250" s="11">
        <v>239</v>
      </c>
      <c r="B250" s="16"/>
      <c r="C250" s="13"/>
      <c r="D250" s="13"/>
      <c r="E250" s="13"/>
      <c r="F250" s="13"/>
      <c r="G250" s="13"/>
      <c r="H250" s="13"/>
      <c r="I250" s="40"/>
      <c r="J250" s="44"/>
      <c r="K250" s="42"/>
      <c r="L250" s="43"/>
      <c r="M250" s="13"/>
    </row>
    <row r="251" spans="1:13">
      <c r="A251" s="11">
        <v>240</v>
      </c>
      <c r="B251" s="16"/>
      <c r="C251" s="13"/>
      <c r="D251" s="13"/>
      <c r="E251" s="13"/>
      <c r="F251" s="13"/>
      <c r="G251" s="13"/>
      <c r="H251" s="13"/>
      <c r="I251" s="13"/>
      <c r="J251" s="13"/>
      <c r="K251" s="33"/>
      <c r="L251" s="34"/>
      <c r="M251" s="13"/>
    </row>
    <row r="252" spans="1:13" ht="15.75">
      <c r="A252" s="10">
        <v>241</v>
      </c>
      <c r="B252" s="14"/>
      <c r="C252" s="13"/>
      <c r="D252" s="13"/>
      <c r="E252" s="13"/>
      <c r="F252" s="13"/>
      <c r="G252" s="13"/>
      <c r="H252" s="13"/>
      <c r="I252" s="13"/>
      <c r="J252" s="13"/>
      <c r="K252" s="33"/>
      <c r="L252" s="34"/>
      <c r="M252" s="13"/>
    </row>
    <row r="253" spans="1:13">
      <c r="A253" s="11">
        <v>242</v>
      </c>
      <c r="B253" s="16"/>
      <c r="C253" s="13"/>
      <c r="D253" s="13"/>
      <c r="E253" s="13"/>
      <c r="F253" s="13"/>
      <c r="G253" s="13"/>
      <c r="H253" s="13"/>
      <c r="I253" s="40"/>
      <c r="J253" s="44"/>
      <c r="K253" s="42"/>
      <c r="L253" s="43"/>
      <c r="M253" s="13"/>
    </row>
    <row r="254" spans="1:13">
      <c r="A254" s="11">
        <v>243</v>
      </c>
      <c r="B254" s="16"/>
      <c r="C254" s="13"/>
      <c r="D254" s="13"/>
      <c r="E254" s="13"/>
      <c r="F254" s="13"/>
      <c r="G254" s="13"/>
      <c r="H254" s="13"/>
      <c r="I254" s="40"/>
      <c r="J254" s="44"/>
      <c r="K254" s="42"/>
      <c r="L254" s="43"/>
      <c r="M254" s="13"/>
    </row>
    <row r="255" spans="1:13">
      <c r="A255" s="11">
        <v>244</v>
      </c>
      <c r="B255" s="16"/>
      <c r="C255" s="13"/>
      <c r="D255" s="13"/>
      <c r="E255" s="13"/>
      <c r="F255" s="13"/>
      <c r="G255" s="13"/>
      <c r="H255" s="13"/>
      <c r="I255" s="40"/>
      <c r="J255" s="44"/>
      <c r="K255" s="42"/>
      <c r="L255" s="43"/>
      <c r="M255" s="13"/>
    </row>
    <row r="256" spans="1:13">
      <c r="A256" s="11">
        <v>245</v>
      </c>
      <c r="B256" s="16"/>
      <c r="C256" s="13"/>
      <c r="D256" s="13"/>
      <c r="E256" s="13"/>
      <c r="F256" s="13"/>
      <c r="G256" s="13"/>
      <c r="H256" s="13"/>
      <c r="I256" s="40"/>
      <c r="J256" s="44"/>
      <c r="K256" s="42"/>
      <c r="L256" s="43"/>
      <c r="M256" s="13"/>
    </row>
    <row r="257" spans="1:13" ht="15.75">
      <c r="A257" s="10">
        <v>246</v>
      </c>
      <c r="B257" s="14"/>
      <c r="C257" s="13"/>
      <c r="D257" s="13"/>
      <c r="E257" s="13"/>
      <c r="F257" s="13"/>
      <c r="G257" s="13"/>
      <c r="H257" s="13"/>
      <c r="I257" s="13"/>
      <c r="J257" s="13"/>
      <c r="K257" s="33"/>
      <c r="L257" s="34"/>
      <c r="M257" s="13"/>
    </row>
    <row r="258" spans="1:13">
      <c r="A258" s="11">
        <v>247</v>
      </c>
      <c r="B258" s="16"/>
      <c r="C258" s="13"/>
      <c r="D258" s="13"/>
      <c r="E258" s="13"/>
      <c r="F258" s="13"/>
      <c r="G258" s="13"/>
      <c r="H258" s="13"/>
      <c r="I258" s="40"/>
      <c r="J258" s="44"/>
      <c r="K258" s="42"/>
      <c r="L258" s="43"/>
      <c r="M258" s="13"/>
    </row>
    <row r="259" spans="1:13">
      <c r="A259" s="11">
        <v>248</v>
      </c>
      <c r="B259" s="16"/>
      <c r="C259" s="13"/>
      <c r="D259" s="13"/>
      <c r="E259" s="13"/>
      <c r="F259" s="13"/>
      <c r="G259" s="13"/>
      <c r="H259" s="13"/>
      <c r="I259" s="40"/>
      <c r="J259" s="44"/>
      <c r="K259" s="42"/>
      <c r="L259" s="43"/>
      <c r="M259" s="13"/>
    </row>
    <row r="260" spans="1:13">
      <c r="A260" s="11">
        <v>249</v>
      </c>
      <c r="B260" s="16"/>
      <c r="C260" s="13"/>
      <c r="D260" s="13"/>
      <c r="E260" s="13"/>
      <c r="F260" s="13"/>
      <c r="G260" s="13"/>
      <c r="H260" s="13"/>
      <c r="I260" s="40"/>
      <c r="J260" s="44"/>
      <c r="K260" s="42"/>
      <c r="L260" s="43"/>
      <c r="M260" s="13"/>
    </row>
    <row r="261" spans="1:13">
      <c r="A261" s="11">
        <v>250</v>
      </c>
      <c r="B261" s="16"/>
      <c r="C261" s="13"/>
      <c r="D261" s="13"/>
      <c r="E261" s="13"/>
      <c r="F261" s="13"/>
      <c r="G261" s="13"/>
      <c r="H261" s="13"/>
      <c r="I261" s="40"/>
      <c r="J261" s="44"/>
      <c r="K261" s="42"/>
      <c r="L261" s="43"/>
      <c r="M261" s="13"/>
    </row>
    <row r="262" spans="1:13" ht="15.75">
      <c r="A262" s="10">
        <v>251</v>
      </c>
      <c r="B262" s="14"/>
      <c r="C262" s="13"/>
      <c r="D262" s="13"/>
      <c r="E262" s="13"/>
      <c r="F262" s="13"/>
      <c r="G262" s="13"/>
      <c r="H262" s="13"/>
      <c r="I262" s="13"/>
      <c r="J262" s="13"/>
      <c r="K262" s="33"/>
      <c r="L262" s="34"/>
      <c r="M262" s="13"/>
    </row>
    <row r="263" spans="1:13">
      <c r="A263" s="11">
        <v>252</v>
      </c>
      <c r="B263" s="16"/>
      <c r="C263" s="13"/>
      <c r="D263" s="13"/>
      <c r="E263" s="13"/>
      <c r="F263" s="13"/>
      <c r="G263" s="13"/>
      <c r="H263" s="13"/>
      <c r="I263" s="40"/>
      <c r="J263" s="44"/>
      <c r="K263" s="42"/>
      <c r="L263" s="43"/>
      <c r="M263" s="13"/>
    </row>
    <row r="264" spans="1:13">
      <c r="A264" s="11">
        <v>253</v>
      </c>
      <c r="B264" s="16"/>
      <c r="C264" s="13"/>
      <c r="D264" s="13"/>
      <c r="E264" s="13"/>
      <c r="F264" s="13"/>
      <c r="G264" s="13"/>
      <c r="H264" s="13"/>
      <c r="I264" s="40"/>
      <c r="J264" s="44"/>
      <c r="K264" s="42"/>
      <c r="L264" s="43"/>
      <c r="M264" s="13"/>
    </row>
    <row r="265" spans="1:13">
      <c r="A265" s="11">
        <v>254</v>
      </c>
      <c r="B265" s="16"/>
      <c r="C265" s="13"/>
      <c r="D265" s="13"/>
      <c r="E265" s="13"/>
      <c r="F265" s="13"/>
      <c r="G265" s="13"/>
      <c r="H265" s="13"/>
      <c r="I265" s="40"/>
      <c r="J265" s="44"/>
      <c r="K265" s="42"/>
      <c r="L265" s="43"/>
      <c r="M265" s="13"/>
    </row>
    <row r="266" spans="1:13">
      <c r="A266" s="11">
        <v>255</v>
      </c>
      <c r="B266" s="16"/>
      <c r="C266" s="13"/>
      <c r="D266" s="13"/>
      <c r="E266" s="13"/>
      <c r="F266" s="13"/>
      <c r="G266" s="13"/>
      <c r="H266" s="13"/>
      <c r="I266" s="40"/>
      <c r="J266" s="44"/>
      <c r="K266" s="42"/>
      <c r="L266" s="43"/>
      <c r="M266" s="13"/>
    </row>
    <row r="267" spans="1:13">
      <c r="A267" s="10">
        <v>256</v>
      </c>
      <c r="B267" s="16"/>
      <c r="C267" s="13"/>
      <c r="D267" s="13"/>
      <c r="E267" s="13"/>
      <c r="F267" s="13"/>
      <c r="G267" s="13"/>
      <c r="H267" s="13"/>
      <c r="I267" s="40"/>
      <c r="J267" s="44"/>
      <c r="K267" s="42"/>
      <c r="L267" s="43"/>
      <c r="M267" s="13"/>
    </row>
    <row r="268" spans="1:13">
      <c r="A268" s="11">
        <v>257</v>
      </c>
      <c r="B268" s="16"/>
      <c r="C268" s="13"/>
      <c r="D268" s="13"/>
      <c r="E268" s="13"/>
      <c r="F268" s="13"/>
      <c r="G268" s="13"/>
      <c r="H268" s="13"/>
      <c r="I268" s="40"/>
      <c r="J268" s="44"/>
      <c r="K268" s="42"/>
      <c r="L268" s="43"/>
      <c r="M268" s="13"/>
    </row>
    <row r="269" spans="1:13">
      <c r="A269" s="11">
        <v>258</v>
      </c>
      <c r="B269" s="16"/>
      <c r="C269" s="13"/>
      <c r="D269" s="13"/>
      <c r="E269" s="13"/>
      <c r="F269" s="13"/>
      <c r="G269" s="13"/>
      <c r="H269" s="13"/>
      <c r="I269" s="40"/>
      <c r="J269" s="44"/>
      <c r="K269" s="42"/>
      <c r="L269" s="43"/>
      <c r="M269" s="13"/>
    </row>
    <row r="270" spans="1:13">
      <c r="A270" s="11">
        <v>256</v>
      </c>
      <c r="L270" s="43"/>
      <c r="M270" s="13"/>
    </row>
    <row r="271" spans="1:13">
      <c r="A271" s="11">
        <v>257</v>
      </c>
      <c r="L271" s="34"/>
      <c r="M271" s="13"/>
    </row>
    <row r="272" spans="1:13">
      <c r="A272" s="11">
        <v>258</v>
      </c>
      <c r="L272" s="34"/>
      <c r="M272" s="13"/>
    </row>
    <row r="273" spans="1:13">
      <c r="A273" s="11">
        <v>259</v>
      </c>
      <c r="L273" s="43"/>
      <c r="M273" s="13"/>
    </row>
    <row r="274" spans="1:13">
      <c r="A274" s="11">
        <v>260</v>
      </c>
      <c r="L274" s="43"/>
      <c r="M274" s="13"/>
    </row>
    <row r="275" spans="1:13">
      <c r="A275" s="11">
        <v>261</v>
      </c>
      <c r="L275" s="43"/>
      <c r="M275" s="13"/>
    </row>
    <row r="276" spans="1:13">
      <c r="A276" s="11">
        <v>262</v>
      </c>
      <c r="L276" s="43"/>
      <c r="M276" s="13"/>
    </row>
    <row r="277" spans="1:13">
      <c r="A277" s="11">
        <v>263</v>
      </c>
      <c r="L277" s="43"/>
      <c r="M277" s="13"/>
    </row>
    <row r="278" spans="1:13">
      <c r="A278" s="11">
        <v>264</v>
      </c>
      <c r="L278" s="43"/>
      <c r="M278" s="13"/>
    </row>
    <row r="279" spans="1:13">
      <c r="A279" s="11">
        <v>265</v>
      </c>
      <c r="L279" s="43"/>
      <c r="M279" s="13"/>
    </row>
    <row r="280" spans="1:13">
      <c r="A280" s="11">
        <v>266</v>
      </c>
      <c r="L280" s="43"/>
      <c r="M280" s="13"/>
    </row>
    <row r="281" spans="1:13">
      <c r="A281" s="11">
        <v>267</v>
      </c>
      <c r="L281" s="43"/>
      <c r="M281" s="13"/>
    </row>
    <row r="282" spans="1:13">
      <c r="A282" s="11">
        <v>268</v>
      </c>
      <c r="L282" s="43"/>
      <c r="M282" s="13"/>
    </row>
    <row r="283" spans="1:13">
      <c r="A283" s="11">
        <v>269</v>
      </c>
      <c r="L283" s="43"/>
      <c r="M283" s="13"/>
    </row>
    <row r="284" spans="1:13">
      <c r="A284" s="11">
        <v>270</v>
      </c>
      <c r="L284" s="43"/>
      <c r="M284" s="13"/>
    </row>
    <row r="285" spans="1:13">
      <c r="A285" s="11">
        <v>271</v>
      </c>
      <c r="L285" s="43"/>
      <c r="M285" s="13"/>
    </row>
    <row r="286" spans="1:13">
      <c r="A286" s="11">
        <v>272</v>
      </c>
      <c r="L286" s="43"/>
      <c r="M286" s="13"/>
    </row>
    <row r="287" spans="1:13">
      <c r="A287" s="11">
        <v>273</v>
      </c>
      <c r="L287" s="43"/>
      <c r="M287" s="13"/>
    </row>
    <row r="288" spans="1:13">
      <c r="A288" s="11">
        <v>274</v>
      </c>
      <c r="L288" s="34"/>
      <c r="M288" s="13"/>
    </row>
    <row r="289" spans="1:13">
      <c r="A289" s="11">
        <v>275</v>
      </c>
      <c r="L289" s="43"/>
      <c r="M289" s="13"/>
    </row>
    <row r="290" spans="1:13">
      <c r="A290" s="11">
        <v>276</v>
      </c>
      <c r="L290" s="43"/>
      <c r="M290" s="13"/>
    </row>
    <row r="291" spans="1:13">
      <c r="A291" s="11">
        <v>277</v>
      </c>
      <c r="L291" s="43"/>
      <c r="M291" s="13"/>
    </row>
    <row r="292" spans="1:13">
      <c r="A292" s="11">
        <v>278</v>
      </c>
      <c r="L292" s="43"/>
      <c r="M292" s="13"/>
    </row>
    <row r="293" spans="1:13">
      <c r="A293" s="11">
        <v>279</v>
      </c>
      <c r="L293" s="43"/>
      <c r="M293" s="13"/>
    </row>
    <row r="294" spans="1:13">
      <c r="A294" s="11">
        <v>280</v>
      </c>
      <c r="L294" s="43"/>
      <c r="M294" s="13"/>
    </row>
    <row r="295" spans="1:13">
      <c r="A295" s="11">
        <v>281</v>
      </c>
      <c r="L295" s="43"/>
      <c r="M295" s="13"/>
    </row>
    <row r="296" spans="1:13">
      <c r="A296" s="11">
        <v>282</v>
      </c>
      <c r="L296" s="43"/>
      <c r="M296" s="13"/>
    </row>
    <row r="297" spans="1:13">
      <c r="A297" s="11">
        <v>283</v>
      </c>
      <c r="L297" s="43"/>
      <c r="M297" s="13"/>
    </row>
    <row r="298" spans="1:13">
      <c r="A298" s="11">
        <v>284</v>
      </c>
      <c r="L298" s="43"/>
      <c r="M298" s="13"/>
    </row>
    <row r="299" spans="1:13">
      <c r="A299" s="11">
        <v>285</v>
      </c>
      <c r="L299" s="43"/>
      <c r="M299" s="13"/>
    </row>
    <row r="300" spans="1:13">
      <c r="A300" s="11">
        <v>286</v>
      </c>
      <c r="L300" s="43"/>
      <c r="M300" s="13"/>
    </row>
    <row r="301" spans="1:13">
      <c r="A301" s="11">
        <v>287</v>
      </c>
      <c r="L301" s="43"/>
      <c r="M301" s="13"/>
    </row>
    <row r="302" spans="1:13">
      <c r="A302" s="11">
        <v>288</v>
      </c>
      <c r="L302" s="43"/>
      <c r="M302" s="13"/>
    </row>
    <row r="303" spans="1:13">
      <c r="A303" s="11">
        <v>289</v>
      </c>
      <c r="L303" s="34"/>
      <c r="M303" s="13"/>
    </row>
    <row r="304" spans="1:13">
      <c r="A304" s="11">
        <v>290</v>
      </c>
      <c r="L304" s="43"/>
      <c r="M304" s="13"/>
    </row>
    <row r="305" spans="1:13">
      <c r="A305" s="11">
        <v>291</v>
      </c>
      <c r="L305" s="43"/>
      <c r="M305" s="13"/>
    </row>
    <row r="306" spans="1:13">
      <c r="A306" s="11">
        <v>292</v>
      </c>
      <c r="L306" s="43"/>
      <c r="M306" s="13"/>
    </row>
    <row r="307" spans="1:13">
      <c r="A307" s="11">
        <v>293</v>
      </c>
      <c r="L307" s="43"/>
      <c r="M307" s="13"/>
    </row>
    <row r="308" spans="1:13">
      <c r="A308" s="11"/>
      <c r="B308" s="16"/>
      <c r="C308" s="13"/>
      <c r="D308" s="13"/>
      <c r="E308" s="13"/>
      <c r="F308" s="13"/>
      <c r="G308" s="40"/>
      <c r="H308" s="40"/>
      <c r="I308" s="40"/>
      <c r="J308" s="44"/>
      <c r="K308" s="42"/>
      <c r="L308" s="43"/>
      <c r="M308" s="13"/>
    </row>
    <row r="309" spans="1:13">
      <c r="A309" s="10"/>
      <c r="B309" s="16"/>
      <c r="C309" s="13"/>
      <c r="D309" s="13"/>
      <c r="E309" s="13"/>
      <c r="F309" s="13"/>
      <c r="G309" s="40"/>
      <c r="H309" s="40"/>
      <c r="I309" s="40"/>
      <c r="J309" s="44"/>
      <c r="K309" s="42"/>
      <c r="L309" s="43"/>
      <c r="M309" s="13"/>
    </row>
    <row r="310" spans="1:13">
      <c r="A310" s="10"/>
      <c r="B310" s="16"/>
      <c r="C310" s="13"/>
      <c r="D310" s="13"/>
      <c r="E310" s="13"/>
      <c r="F310" s="13"/>
      <c r="G310" s="13"/>
      <c r="H310" s="13"/>
      <c r="I310" s="13"/>
      <c r="J310" s="13"/>
      <c r="K310" s="33"/>
      <c r="L310" s="34"/>
      <c r="M310" s="13"/>
    </row>
    <row r="312" spans="1:13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spans="1:13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spans="1:13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spans="1:13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spans="1:13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spans="1:13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spans="1:13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spans="1:13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spans="1:13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customFormat="1"/>
    <row r="322" customFormat="1"/>
    <row r="323" customFormat="1"/>
    <row r="324" customFormat="1"/>
    <row r="325" customFormat="1" ht="15" customHeigh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 ht="13.5" customHeight="1"/>
    <row r="337" customFormat="1" ht="15" customHeigh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 ht="15" customHeight="1"/>
    <row r="362" customFormat="1" ht="15" customHeight="1"/>
    <row r="363" customFormat="1"/>
    <row r="364" customFormat="1"/>
    <row r="365" customFormat="1"/>
    <row r="366" customFormat="1"/>
    <row r="367" customFormat="1"/>
    <row r="368" customFormat="1"/>
    <row r="369" spans="4:5" customFormat="1" ht="15" customHeight="1"/>
    <row r="370" spans="4:5" customFormat="1"/>
    <row r="371" spans="4:5" customFormat="1"/>
    <row r="372" spans="4:5" customFormat="1"/>
    <row r="373" spans="4:5" customFormat="1">
      <c r="D373" s="1"/>
      <c r="E373" s="1"/>
    </row>
    <row r="374" spans="4:5" customFormat="1"/>
    <row r="375" spans="4:5" customFormat="1">
      <c r="D375" s="1"/>
      <c r="E375" s="1"/>
    </row>
    <row r="376" spans="4:5" customFormat="1"/>
    <row r="377" spans="4:5" customFormat="1" ht="15" customHeight="1"/>
    <row r="378" spans="4:5" customFormat="1"/>
    <row r="379" spans="4:5" customFormat="1"/>
    <row r="380" spans="4:5" customFormat="1"/>
    <row r="381" spans="4:5" customFormat="1">
      <c r="D381" s="1"/>
      <c r="E381" s="1"/>
    </row>
    <row r="382" spans="4:5" customFormat="1"/>
    <row r="383" spans="4:5" customFormat="1">
      <c r="D383" s="1"/>
      <c r="E383" s="1"/>
    </row>
    <row r="384" spans="4:5" customFormat="1"/>
    <row r="385" spans="1:13" ht="15" customHeight="1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pans="1:13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pans="1:13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pans="1:13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pans="1:13">
      <c r="A389"/>
      <c r="B389"/>
      <c r="C389"/>
      <c r="F389"/>
      <c r="G389"/>
      <c r="H389"/>
      <c r="I389"/>
      <c r="J389"/>
      <c r="K389"/>
      <c r="L389"/>
      <c r="M389"/>
    </row>
    <row r="390" spans="1:13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pans="1:13">
      <c r="A391"/>
      <c r="B391"/>
      <c r="C391"/>
      <c r="F391"/>
      <c r="G391"/>
      <c r="H391"/>
      <c r="I391"/>
      <c r="J391"/>
      <c r="K391"/>
      <c r="L391"/>
      <c r="M391"/>
    </row>
    <row r="392" spans="1:13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pans="1:13" ht="15" customHeight="1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pans="1:13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pans="1:13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pans="1:13">
      <c r="A396"/>
      <c r="B396"/>
      <c r="C396"/>
      <c r="F396"/>
      <c r="G396"/>
      <c r="H396"/>
      <c r="I396"/>
      <c r="J396"/>
      <c r="K396"/>
      <c r="L396"/>
      <c r="M396"/>
    </row>
    <row r="397" spans="1:13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pans="1:13">
      <c r="A398"/>
      <c r="B398"/>
      <c r="C398"/>
      <c r="F398"/>
      <c r="G398"/>
      <c r="H398"/>
      <c r="I398"/>
      <c r="J398"/>
      <c r="K398"/>
      <c r="L398"/>
      <c r="M398"/>
    </row>
    <row r="399" spans="1:13">
      <c r="B399"/>
      <c r="C399"/>
      <c r="F399"/>
      <c r="G399"/>
      <c r="H399"/>
      <c r="I399"/>
      <c r="J399"/>
      <c r="K399"/>
      <c r="L399"/>
      <c r="M399"/>
    </row>
    <row r="400" spans="1:13" ht="15" customHeight="1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pans="4:5" customFormat="1"/>
    <row r="402" spans="4:5" customFormat="1"/>
    <row r="403" spans="4:5" customFormat="1">
      <c r="D403" s="1"/>
      <c r="E403" s="1"/>
    </row>
    <row r="404" spans="4:5" customFormat="1"/>
    <row r="405" spans="4:5" customFormat="1">
      <c r="D405" s="1"/>
      <c r="E405" s="1"/>
    </row>
    <row r="406" spans="4:5" customFormat="1"/>
    <row r="407" spans="4:5" customFormat="1" ht="15" customHeight="1"/>
    <row r="408" spans="4:5" customFormat="1"/>
    <row r="409" spans="4:5" customFormat="1"/>
    <row r="410" spans="4:5" customFormat="1"/>
    <row r="411" spans="4:5" customFormat="1">
      <c r="D411" s="1"/>
      <c r="E411" s="1"/>
    </row>
    <row r="412" spans="4:5" customFormat="1"/>
    <row r="413" spans="4:5" customFormat="1">
      <c r="D413" s="1"/>
      <c r="E413" s="1"/>
    </row>
    <row r="414" spans="4:5" customFormat="1"/>
    <row r="415" spans="4:5" customFormat="1" ht="15" customHeight="1"/>
    <row r="416" spans="4:5" customFormat="1"/>
    <row r="417" customFormat="1"/>
    <row r="418" customFormat="1"/>
    <row r="419" customFormat="1"/>
    <row r="420" customFormat="1" ht="15" customHeight="1"/>
    <row r="421" customFormat="1" ht="15" customHeigh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spans="7:7" customFormat="1"/>
    <row r="434" spans="7:7" customFormat="1"/>
    <row r="435" spans="7:7" customFormat="1"/>
    <row r="436" spans="7:7" customFormat="1"/>
    <row r="437" spans="7:7" customFormat="1">
      <c r="G437" s="47"/>
    </row>
    <row r="438" spans="7:7" customFormat="1"/>
    <row r="439" spans="7:7" customFormat="1"/>
    <row r="440" spans="7:7" customFormat="1"/>
    <row r="441" spans="7:7" customFormat="1"/>
    <row r="495" spans="14:14">
      <c r="N495" s="35"/>
    </row>
    <row r="627" spans="14:14">
      <c r="N627" s="35"/>
    </row>
    <row r="669" ht="15" customHeight="1"/>
    <row r="682" spans="14:14">
      <c r="N682" s="35"/>
    </row>
    <row r="792" spans="14:14">
      <c r="N792" s="35"/>
    </row>
    <row r="809" spans="14:20">
      <c r="N809" s="35"/>
    </row>
    <row r="815" spans="14:20">
      <c r="N815" s="35"/>
      <c r="O815" s="35"/>
      <c r="T815" s="35"/>
    </row>
    <row r="818" spans="14:19" ht="28.5" customHeight="1">
      <c r="P818" s="1"/>
      <c r="Q818" s="1"/>
      <c r="R818" s="1"/>
      <c r="S818" s="1"/>
    </row>
    <row r="820" spans="14:19">
      <c r="P820" s="1"/>
      <c r="Q820" s="1"/>
      <c r="R820" s="1"/>
      <c r="S820" s="1"/>
    </row>
    <row r="822" spans="14:19">
      <c r="P822" s="1"/>
      <c r="Q822" s="1"/>
      <c r="R822" s="1"/>
      <c r="S822" s="1"/>
    </row>
    <row r="824" spans="14:19">
      <c r="N824" s="1"/>
      <c r="P824" s="1"/>
      <c r="Q824" s="1"/>
      <c r="R824" s="1"/>
      <c r="S824" s="1"/>
    </row>
    <row r="826" spans="14:19">
      <c r="N826" s="1"/>
    </row>
    <row r="827" spans="14:19">
      <c r="P827" s="1"/>
      <c r="Q827" s="1"/>
      <c r="R827" s="1"/>
      <c r="S827" s="1"/>
    </row>
    <row r="828" spans="14:19">
      <c r="N828" s="1"/>
    </row>
    <row r="830" spans="14:19">
      <c r="N830" s="1"/>
      <c r="P830" s="1"/>
      <c r="Q830" s="1"/>
      <c r="R830" s="1"/>
      <c r="S830" s="1"/>
    </row>
    <row r="833" spans="16:19">
      <c r="P833" s="1"/>
      <c r="Q833" s="1"/>
      <c r="R833" s="1"/>
      <c r="S833" s="1"/>
    </row>
    <row r="836" spans="16:19">
      <c r="P836" s="1"/>
      <c r="Q836" s="1"/>
      <c r="R836" s="1"/>
      <c r="S836" s="1"/>
    </row>
    <row r="839" spans="16:19">
      <c r="P839" s="1"/>
      <c r="Q839" s="1"/>
      <c r="R839" s="1"/>
      <c r="S839" s="1"/>
    </row>
    <row r="841" spans="16:19">
      <c r="P841" s="1"/>
      <c r="Q841" s="1"/>
      <c r="R841" s="1"/>
      <c r="S841" s="1"/>
    </row>
    <row r="844" spans="16:19">
      <c r="P844" s="1"/>
      <c r="Q844" s="1"/>
      <c r="R844" s="1"/>
      <c r="S844" s="1"/>
    </row>
    <row r="846" spans="16:19">
      <c r="P846" s="1"/>
      <c r="Q846" s="1"/>
      <c r="R846" s="1"/>
      <c r="S846" s="1"/>
    </row>
  </sheetData>
  <autoFilter ref="A3:S430" xr:uid="{00000000-0009-0000-0000-000001000000}"/>
  <sortState xmlns:xlrd2="http://schemas.microsoft.com/office/spreadsheetml/2017/richdata2" ref="A25:F167">
    <sortCondition sortBy="cellColor" ref="A25:A167" dxfId="0"/>
  </sortState>
  <mergeCells count="9">
    <mergeCell ref="J176:J177"/>
    <mergeCell ref="J178:J179"/>
    <mergeCell ref="M10:M11"/>
    <mergeCell ref="B1:L1"/>
    <mergeCell ref="M8:O8"/>
    <mergeCell ref="M9:O9"/>
    <mergeCell ref="D10:D11"/>
    <mergeCell ref="E10:E11"/>
    <mergeCell ref="H10:H11"/>
  </mergeCells>
  <hyperlinks>
    <hyperlink ref="B40" r:id="rId1" xr:uid="{B258D542-9670-46E7-B9BA-54DD63530D36}"/>
    <hyperlink ref="B41" r:id="rId2" xr:uid="{33468656-A404-4E60-9548-12B0E8F7ABB5}"/>
  </hyperlinks>
  <pageMargins left="0.7" right="0.7" top="0.75" bottom="0.75" header="0.3" footer="0.3"/>
  <pageSetup scale="37" orientation="portrait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Estimate sheet</vt:lpstr>
      <vt:lpstr>'Estimate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Vadane</dc:creator>
  <cp:lastModifiedBy>Omid Cheraghi</cp:lastModifiedBy>
  <cp:lastPrinted>2024-05-16T14:28:00Z</cp:lastPrinted>
  <dcterms:created xsi:type="dcterms:W3CDTF">2023-11-02T05:14:00Z</dcterms:created>
  <dcterms:modified xsi:type="dcterms:W3CDTF">2025-02-20T18:08:10Z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35C20EA3199F448397459E21989912CC_12</vt:lpwstr>
  </property>
  <property fmtid="{D5CDD505-2E9C-101B-9397-08002B2CF9AE}" pid="3" name="KSOProductBuildVer">
    <vt:lpwstr>1033-12.2.0.18638</vt:lpwstr>
  </property>
</Properties>
</file>